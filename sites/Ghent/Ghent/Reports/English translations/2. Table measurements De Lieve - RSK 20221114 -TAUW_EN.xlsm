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NA\__PROJECTS\2023_DNDBiotech\_Case_studies\Ghent\"/>
    </mc:Choice>
  </mc:AlternateContent>
  <xr:revisionPtr revIDLastSave="0" documentId="13_ncr:1_{5D471E58-C636-4171-9AF6-FB3111AB9F72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Monitoring wells" sheetId="4" r:id="rId1"/>
    <sheet name="Groundwater" sheetId="16" r:id="rId2"/>
    <sheet name="Sediments" sheetId="9" r:id="rId3"/>
    <sheet name="Surface water" sheetId="7" r:id="rId4"/>
    <sheet name="Wat over mat" sheetId="11" r:id="rId5"/>
    <sheet name="Grafiek opp wat afstand" sheetId="14" r:id="rId6"/>
    <sheet name="Logboek" sheetId="15" r:id="rId7"/>
  </sheets>
  <externalReferences>
    <externalReference r:id="rId8"/>
  </externalReferences>
  <definedNames>
    <definedName name="AnalysisSamples">#REF!</definedName>
    <definedName name="AnalysisTestingInfo">#REF!</definedName>
    <definedName name="AnalysisTestingResults">#REF!</definedName>
    <definedName name="AnalysisWithoutTestingResults">#REF!</definedName>
    <definedName name="_xlnm.Print_Area" localSheetId="1">Groundwater!$A$1:$AJ$57</definedName>
    <definedName name="_xlnm.Print_Area" localSheetId="0">'Monitoring wells'!$A$1:$BF$70</definedName>
    <definedName name="_xlnm.Print_Area" localSheetId="2">Sediments!$B$1:$AI$62</definedName>
    <definedName name="_xlnm.Print_Area" localSheetId="3">'Surface water'!$A$1:$BX$49</definedName>
    <definedName name="_xlnm.Print_Area" localSheetId="4">'Wat over mat'!$A$1:$CQ$78</definedName>
    <definedName name="ArseenI" localSheetId="2">Sediments!#REF!</definedName>
    <definedName name="ArseenI">#REF!</definedName>
    <definedName name="BESTEMMINGSTYPE" localSheetId="2">Sediments!#REF!</definedName>
    <definedName name="BESTEMMINGSTYPE">#REF!</definedName>
    <definedName name="BodemBSN">#REF!</definedName>
    <definedName name="BodemRichtwaarde">#REF!</definedName>
    <definedName name="BodemStofnamen" localSheetId="2">Sediments!$A$12:$A$47</definedName>
    <definedName name="BodemStofnamen">#REF!</definedName>
    <definedName name="BodemStreefwaarde">#REF!</definedName>
    <definedName name="BodemTSW">#REF!</definedName>
    <definedName name="BodemTSWRapport" localSheetId="2">Sediments!#REF!</definedName>
    <definedName name="BodemTSWRapport">#REF!</definedName>
    <definedName name="cadmiumI" localSheetId="2">Sediments!#REF!</definedName>
    <definedName name="cadmiumI">#REF!</definedName>
    <definedName name="CalculationSoilSubstances" localSheetId="2">Sediments!$A$56:$A$58</definedName>
    <definedName name="CalculationSoilSubstances">#REF!</definedName>
    <definedName name="CalculationValues">#REF!</definedName>
    <definedName name="DichloorethaanV" localSheetId="2">Sediments!#REF!</definedName>
    <definedName name="DichloorethaanV">#REF!</definedName>
    <definedName name="General">#REF!</definedName>
    <definedName name="GrondwaterBSN">#REF!</definedName>
    <definedName name="GrondwaterRichtwaarde">#REF!</definedName>
    <definedName name="GrondwaterStofnamen">#REF!</definedName>
    <definedName name="GrondwaterStreefwaarde">#REF!</definedName>
    <definedName name="GrondwaterTSW">#REF!</definedName>
    <definedName name="GrondwaterTSWRapport">#REF!</definedName>
    <definedName name="HexachloorbenzeenIV" localSheetId="2">Sediments!#REF!</definedName>
    <definedName name="HexachloorbenzeenIV">#REF!</definedName>
    <definedName name="keuzelijst_mineraleolie">#REF!</definedName>
    <definedName name="keuzelijst_ph">#REF!</definedName>
    <definedName name="KLEI" localSheetId="2">Sediments!$AG$56</definedName>
    <definedName name="KLEI">#REF!</definedName>
    <definedName name="KLEIBSN" localSheetId="2">Sediments!#REF!</definedName>
    <definedName name="KLEIBSN">#REF!</definedName>
    <definedName name="kleirichtwaarde" localSheetId="2">Sediments!#REF!</definedName>
    <definedName name="kleirichtwaarde">#REF!</definedName>
    <definedName name="KLEISTREEFWAARDE" localSheetId="2">Sediments!#REF!</definedName>
    <definedName name="KLEISTREEFWAARDE">#REF!</definedName>
    <definedName name="KOPERI" localSheetId="2">Sediments!#REF!</definedName>
    <definedName name="KOPERI">#REF!</definedName>
    <definedName name="KOPERIBSN" localSheetId="2">Sediments!#REF!</definedName>
    <definedName name="KOPERIBSN">#REF!</definedName>
    <definedName name="koperIII" localSheetId="2">Sediments!#REF!</definedName>
    <definedName name="koperIII">#REF!</definedName>
    <definedName name="LanguageIndex">#REF!</definedName>
    <definedName name="MW_Grond">#REF!</definedName>
    <definedName name="MW_Grond_Legenda">#REF!</definedName>
    <definedName name="MW_Water">'Monitoring wells'!$B$2</definedName>
    <definedName name="MW_Water_Legenda">#REF!</definedName>
    <definedName name="NORMWAARDE" localSheetId="2">Sediments!$AI:$AI</definedName>
    <definedName name="NORMWAARDE">#REF!</definedName>
    <definedName name="ORG_MAT" localSheetId="2">Sediments!$AG$57</definedName>
    <definedName name="ORG_MAT">#REF!</definedName>
    <definedName name="ORG_MATBSN" localSheetId="2">Sediments!#REF!</definedName>
    <definedName name="ORG_MATBSN">#REF!</definedName>
    <definedName name="ORG_MATRichtwaarde" localSheetId="2">Sediments!#REF!</definedName>
    <definedName name="ORG_MATRichtwaarde">#REF!</definedName>
    <definedName name="ORG_MATstreefwaarde" localSheetId="2">Sediments!#REF!</definedName>
    <definedName name="ORG_MATstreefwaarde">#REF!</definedName>
    <definedName name="PH_KCL" localSheetId="2">Sediments!#REF!</definedName>
    <definedName name="PH_KCL">#REF!</definedName>
    <definedName name="PH_KCLBSN" localSheetId="2">Sediments!#REF!</definedName>
    <definedName name="PH_KCLBSN">#REF!</definedName>
    <definedName name="PH_KCLrichtwaarde" localSheetId="2">Sediments!#REF!</definedName>
    <definedName name="PH_KCLrichtwaarde">#REF!</definedName>
    <definedName name="RW_KLEI" localSheetId="2">Sediments!#REF!</definedName>
    <definedName name="RW_KLEI">#REF!</definedName>
    <definedName name="Translations">#REF!</definedName>
    <definedName name="ZinkI" localSheetId="2">Sediments!#REF!</definedName>
    <definedName name="ZinkI">#REF!</definedName>
  </definedNames>
  <calcPr calcId="191029"/>
</workbook>
</file>

<file path=xl/calcChain.xml><?xml version="1.0" encoding="utf-8"?>
<calcChain xmlns="http://schemas.openxmlformats.org/spreadsheetml/2006/main">
  <c r="H14" i="15" l="1"/>
  <c r="X40" i="16"/>
  <c r="S11" i="16"/>
  <c r="R11" i="16"/>
  <c r="Q11" i="16"/>
  <c r="P11" i="16"/>
  <c r="D10" i="16"/>
  <c r="D13" i="15"/>
  <c r="CD12" i="7"/>
  <c r="CD11" i="7"/>
  <c r="CD10" i="7"/>
  <c r="CD9" i="7"/>
  <c r="CD8" i="7"/>
  <c r="BS31" i="11"/>
  <c r="O77" i="14"/>
  <c r="N77" i="14"/>
  <c r="M77" i="14"/>
  <c r="L77" i="14"/>
  <c r="K77" i="14"/>
  <c r="G77" i="14"/>
  <c r="F77" i="14"/>
  <c r="E77" i="14"/>
  <c r="D77" i="14"/>
  <c r="C77" i="14"/>
  <c r="B77" i="14"/>
  <c r="AH48" i="14"/>
  <c r="AG48" i="14"/>
  <c r="AF48" i="14"/>
  <c r="AE48" i="14"/>
  <c r="AD48" i="14"/>
  <c r="AC48" i="14"/>
  <c r="Y48" i="14"/>
  <c r="X48" i="14"/>
  <c r="W48" i="14"/>
  <c r="V48" i="14"/>
  <c r="U48" i="14"/>
  <c r="T48" i="14"/>
  <c r="P48" i="14"/>
  <c r="O48" i="14"/>
  <c r="N48" i="14"/>
  <c r="M48" i="14"/>
  <c r="L48" i="14"/>
  <c r="K48" i="14"/>
  <c r="G48" i="14"/>
  <c r="F48" i="14"/>
  <c r="E48" i="14"/>
  <c r="D48" i="14"/>
  <c r="C48" i="14"/>
  <c r="B48" i="14"/>
  <c r="AH15" i="14"/>
  <c r="AG15" i="14"/>
  <c r="AF15" i="14"/>
  <c r="AE15" i="14"/>
  <c r="AD15" i="14"/>
  <c r="AC15" i="14"/>
  <c r="Y15" i="14"/>
  <c r="X15" i="14"/>
  <c r="W15" i="14"/>
  <c r="V15" i="14"/>
  <c r="U15" i="14"/>
  <c r="T15" i="14"/>
  <c r="P15" i="14"/>
  <c r="O15" i="14"/>
  <c r="N15" i="14"/>
  <c r="M15" i="14"/>
  <c r="L15" i="14"/>
  <c r="K15" i="14"/>
  <c r="G15" i="14"/>
  <c r="F15" i="14"/>
  <c r="E15" i="14"/>
  <c r="D15" i="14"/>
  <c r="C15" i="14"/>
  <c r="B15" i="14"/>
  <c r="BS34" i="11" l="1"/>
  <c r="BS32" i="11"/>
  <c r="AT31" i="11"/>
  <c r="BR4" i="11"/>
  <c r="F13" i="15"/>
  <c r="E13" i="15"/>
  <c r="B13" i="15"/>
  <c r="N13" i="15"/>
  <c r="P13" i="15" s="1"/>
  <c r="CQ31" i="11"/>
  <c r="CQ32" i="11"/>
  <c r="CQ33" i="11"/>
  <c r="CQ34" i="11"/>
  <c r="CQ37" i="11" s="1"/>
  <c r="CQ35" i="11"/>
  <c r="CQ36" i="11"/>
  <c r="CQ4" i="11"/>
  <c r="CQ5" i="11"/>
  <c r="CQ6" i="11"/>
  <c r="CQ7" i="11"/>
  <c r="CQ8" i="11"/>
  <c r="CQ9" i="11"/>
  <c r="CQ10" i="11"/>
  <c r="CH31" i="11"/>
  <c r="CH32" i="11"/>
  <c r="CH33" i="11"/>
  <c r="CH34" i="11"/>
  <c r="CH4" i="11"/>
  <c r="CH5" i="11"/>
  <c r="CH6" i="11"/>
  <c r="CH7" i="11"/>
  <c r="BJ31" i="11"/>
  <c r="BJ32" i="11"/>
  <c r="BJ33" i="11"/>
  <c r="BJ34" i="11"/>
  <c r="BJ4" i="11"/>
  <c r="BJ5" i="11"/>
  <c r="BJ6" i="11"/>
  <c r="BJ7" i="11"/>
  <c r="AU58" i="11"/>
  <c r="AU59" i="11"/>
  <c r="AU60" i="11"/>
  <c r="AU61" i="11"/>
  <c r="AH58" i="11"/>
  <c r="AH59" i="11"/>
  <c r="AH60" i="11"/>
  <c r="AH61" i="11"/>
  <c r="AL31" i="11"/>
  <c r="AL32" i="11"/>
  <c r="AL33" i="11"/>
  <c r="AL34" i="11"/>
  <c r="AL4" i="11"/>
  <c r="AL5" i="11"/>
  <c r="AL6" i="11"/>
  <c r="AL7" i="11"/>
  <c r="J58" i="11"/>
  <c r="J59" i="11"/>
  <c r="J60" i="11"/>
  <c r="J61" i="11"/>
  <c r="N31" i="11"/>
  <c r="N32" i="11"/>
  <c r="N33" i="11"/>
  <c r="N34" i="11"/>
  <c r="N5" i="11"/>
  <c r="N6" i="11"/>
  <c r="N7" i="11"/>
  <c r="N4" i="11"/>
  <c r="AH40" i="16"/>
  <c r="AG40" i="16"/>
  <c r="AF40" i="16"/>
  <c r="AE40" i="16"/>
  <c r="Z40" i="16"/>
  <c r="Y40" i="16"/>
  <c r="W40" i="16"/>
  <c r="Z11" i="16"/>
  <c r="Y11" i="16"/>
  <c r="X11" i="16"/>
  <c r="W11" i="16"/>
  <c r="S40" i="16"/>
  <c r="R40" i="16"/>
  <c r="Q40" i="16"/>
  <c r="P40" i="16"/>
  <c r="L40" i="16"/>
  <c r="K40" i="16"/>
  <c r="J40" i="16"/>
  <c r="I40" i="16"/>
  <c r="E40" i="16"/>
  <c r="D40" i="16"/>
  <c r="C40" i="16"/>
  <c r="B40" i="16"/>
  <c r="L11" i="16"/>
  <c r="K11" i="16"/>
  <c r="J11" i="16"/>
  <c r="I11" i="16"/>
  <c r="E11" i="16"/>
  <c r="D11" i="16"/>
  <c r="C11" i="16"/>
  <c r="B11" i="16"/>
  <c r="BG11" i="4"/>
  <c r="BG9" i="4"/>
  <c r="AT11" i="4"/>
  <c r="AT9" i="4"/>
  <c r="AG11" i="4"/>
  <c r="T11" i="4"/>
  <c r="T9" i="4"/>
  <c r="AT61" i="11"/>
  <c r="AS61" i="11"/>
  <c r="AR61" i="11"/>
  <c r="AQ61" i="11"/>
  <c r="AP61" i="11"/>
  <c r="AO61" i="11"/>
  <c r="AN61" i="11"/>
  <c r="AT60" i="11"/>
  <c r="AS60" i="11"/>
  <c r="AR60" i="11"/>
  <c r="AQ60" i="11"/>
  <c r="AP60" i="11"/>
  <c r="AO60" i="11"/>
  <c r="AN60" i="11"/>
  <c r="AT59" i="11"/>
  <c r="AS59" i="11"/>
  <c r="AR59" i="11"/>
  <c r="AQ59" i="11"/>
  <c r="AP59" i="11"/>
  <c r="AO59" i="11"/>
  <c r="AN59" i="11"/>
  <c r="AT58" i="11"/>
  <c r="AS58" i="11"/>
  <c r="AR58" i="11"/>
  <c r="AQ58" i="11"/>
  <c r="AP58" i="11"/>
  <c r="AO58" i="11"/>
  <c r="AN58" i="11"/>
  <c r="BH19" i="4"/>
  <c r="BH20" i="4"/>
  <c r="BH18" i="4"/>
  <c r="BH17" i="4"/>
  <c r="BH16" i="4"/>
  <c r="N12" i="15"/>
  <c r="P12" i="15" s="1"/>
  <c r="CB12" i="7"/>
  <c r="CC12" i="7"/>
  <c r="CC11" i="7"/>
  <c r="CB11" i="7"/>
  <c r="CC9" i="7"/>
  <c r="CB9" i="7"/>
  <c r="CC10" i="7"/>
  <c r="CB10" i="7"/>
  <c r="CC8" i="7"/>
  <c r="CB8" i="7"/>
  <c r="AG61" i="11"/>
  <c r="AF61" i="11"/>
  <c r="AE61" i="11"/>
  <c r="AD61" i="11"/>
  <c r="AC61" i="11"/>
  <c r="AB61" i="11"/>
  <c r="AA61" i="11"/>
  <c r="AG60" i="11"/>
  <c r="AF60" i="11"/>
  <c r="AE60" i="11"/>
  <c r="AD60" i="11"/>
  <c r="AC60" i="11"/>
  <c r="AB60" i="11"/>
  <c r="AA60" i="11"/>
  <c r="AG59" i="11"/>
  <c r="AF59" i="11"/>
  <c r="AE59" i="11"/>
  <c r="AD59" i="11"/>
  <c r="AC59" i="11"/>
  <c r="AB59" i="11"/>
  <c r="AA59" i="11"/>
  <c r="AG58" i="11"/>
  <c r="AF58" i="11"/>
  <c r="AE58" i="11"/>
  <c r="AD58" i="11"/>
  <c r="AC58" i="11"/>
  <c r="AB58" i="11"/>
  <c r="AA58" i="11"/>
  <c r="P76" i="14"/>
  <c r="P75" i="14"/>
  <c r="P74" i="14"/>
  <c r="P72" i="14"/>
  <c r="P71" i="14"/>
  <c r="P70" i="14"/>
  <c r="O76" i="14"/>
  <c r="O75" i="14"/>
  <c r="O74" i="14"/>
  <c r="O73" i="14"/>
  <c r="O72" i="14"/>
  <c r="O71" i="14"/>
  <c r="O70" i="14"/>
  <c r="N76" i="14"/>
  <c r="N75" i="14"/>
  <c r="N74" i="14"/>
  <c r="N73" i="14"/>
  <c r="N72" i="14"/>
  <c r="N71" i="14"/>
  <c r="N70" i="14"/>
  <c r="M76" i="14"/>
  <c r="M75" i="14"/>
  <c r="M74" i="14"/>
  <c r="M73" i="14"/>
  <c r="M72" i="14"/>
  <c r="M71" i="14"/>
  <c r="M70" i="14"/>
  <c r="L76" i="14"/>
  <c r="L75" i="14"/>
  <c r="L74" i="14"/>
  <c r="L73" i="14"/>
  <c r="L72" i="14"/>
  <c r="L71" i="14"/>
  <c r="L70" i="14"/>
  <c r="K76" i="14"/>
  <c r="K75" i="14"/>
  <c r="K74" i="14"/>
  <c r="K73" i="14"/>
  <c r="K72" i="14"/>
  <c r="K71" i="14"/>
  <c r="K70" i="14"/>
  <c r="L67" i="14"/>
  <c r="M67" i="14" s="1"/>
  <c r="N67" i="14" s="1"/>
  <c r="O67" i="14" s="1"/>
  <c r="P67" i="14" s="1"/>
  <c r="N11" i="15"/>
  <c r="P11" i="15" s="1"/>
  <c r="G76" i="14"/>
  <c r="F76" i="14"/>
  <c r="E76" i="14"/>
  <c r="D76" i="14"/>
  <c r="C76" i="14"/>
  <c r="B76" i="14"/>
  <c r="AH47" i="14"/>
  <c r="AG47" i="14"/>
  <c r="AF47" i="14"/>
  <c r="AE47" i="14"/>
  <c r="AD47" i="14"/>
  <c r="AC47" i="14"/>
  <c r="Y47" i="14"/>
  <c r="X47" i="14"/>
  <c r="W47" i="14"/>
  <c r="V47" i="14"/>
  <c r="U47" i="14"/>
  <c r="T47" i="14"/>
  <c r="P47" i="14"/>
  <c r="O47" i="14"/>
  <c r="N47" i="14"/>
  <c r="M47" i="14"/>
  <c r="L47" i="14"/>
  <c r="K47" i="14"/>
  <c r="G47" i="14"/>
  <c r="F47" i="14"/>
  <c r="E47" i="14"/>
  <c r="D47" i="14"/>
  <c r="C47" i="14"/>
  <c r="B47" i="14"/>
  <c r="AH14" i="14"/>
  <c r="AG14" i="14"/>
  <c r="AF14" i="14"/>
  <c r="AE14" i="14"/>
  <c r="AD14" i="14"/>
  <c r="AC14" i="14"/>
  <c r="Y14" i="14"/>
  <c r="X14" i="14"/>
  <c r="W14" i="14"/>
  <c r="V14" i="14"/>
  <c r="U14" i="14"/>
  <c r="T14" i="14"/>
  <c r="P14" i="14"/>
  <c r="O14" i="14"/>
  <c r="N14" i="14"/>
  <c r="M14" i="14"/>
  <c r="L14" i="14"/>
  <c r="K14" i="14"/>
  <c r="G14" i="14"/>
  <c r="F14" i="14"/>
  <c r="E14" i="14"/>
  <c r="D14" i="14"/>
  <c r="C14" i="14"/>
  <c r="B14" i="14"/>
  <c r="BD11" i="4"/>
  <c r="BE11" i="4"/>
  <c r="BF11" i="4"/>
  <c r="BD9" i="4"/>
  <c r="BE9" i="4"/>
  <c r="BF9" i="4"/>
  <c r="AQ11" i="4"/>
  <c r="AR11" i="4"/>
  <c r="AS11" i="4"/>
  <c r="AQ9" i="4"/>
  <c r="AR9" i="4"/>
  <c r="AS9" i="4"/>
  <c r="AF11" i="4"/>
  <c r="S11" i="4"/>
  <c r="S9" i="4"/>
  <c r="CG31" i="11"/>
  <c r="CG32" i="11"/>
  <c r="CG33" i="11"/>
  <c r="CG34" i="11"/>
  <c r="CG4" i="11"/>
  <c r="CG5" i="11"/>
  <c r="CG6" i="11"/>
  <c r="CG7" i="11"/>
  <c r="BI31" i="11"/>
  <c r="BI32" i="11"/>
  <c r="BI33" i="11"/>
  <c r="BI34" i="11"/>
  <c r="BI4" i="11"/>
  <c r="BI5" i="11"/>
  <c r="BI6" i="11"/>
  <c r="BI7" i="11"/>
  <c r="AK31" i="11"/>
  <c r="AK32" i="11"/>
  <c r="AK33" i="11"/>
  <c r="AK34" i="11"/>
  <c r="AK4" i="11"/>
  <c r="AK5" i="11"/>
  <c r="AK6" i="11"/>
  <c r="AK7" i="11"/>
  <c r="H58" i="11"/>
  <c r="I58" i="11"/>
  <c r="H59" i="11"/>
  <c r="I59" i="11"/>
  <c r="H60" i="11"/>
  <c r="I60" i="11"/>
  <c r="H61" i="11"/>
  <c r="I61" i="11"/>
  <c r="M31" i="11"/>
  <c r="M32" i="11"/>
  <c r="M33" i="11"/>
  <c r="M34" i="11"/>
  <c r="M4" i="11"/>
  <c r="M5" i="11"/>
  <c r="M6" i="11"/>
  <c r="M7" i="11"/>
  <c r="CF31" i="11"/>
  <c r="CF32" i="11"/>
  <c r="CF33" i="11"/>
  <c r="CF34" i="11"/>
  <c r="CF4" i="11"/>
  <c r="CF5" i="11"/>
  <c r="CF6" i="11"/>
  <c r="CF7" i="11"/>
  <c r="BH31" i="11"/>
  <c r="BH32" i="11"/>
  <c r="BH33" i="11"/>
  <c r="BH34" i="11"/>
  <c r="BH4" i="11"/>
  <c r="BH5" i="11"/>
  <c r="BH6" i="11"/>
  <c r="BH7" i="11"/>
  <c r="AJ31" i="11"/>
  <c r="AJ32" i="11"/>
  <c r="AJ33" i="11"/>
  <c r="AJ34" i="11"/>
  <c r="AJ4" i="11"/>
  <c r="AJ5" i="11"/>
  <c r="AJ6" i="11"/>
  <c r="AJ7" i="11"/>
  <c r="L33" i="11"/>
  <c r="L34" i="11"/>
  <c r="L32" i="11"/>
  <c r="L31" i="11"/>
  <c r="L7" i="11"/>
  <c r="L6" i="11"/>
  <c r="L5" i="11"/>
  <c r="L4" i="11"/>
  <c r="AH46" i="14"/>
  <c r="AG46" i="14"/>
  <c r="AF46" i="14"/>
  <c r="AE46" i="14"/>
  <c r="AD46" i="14"/>
  <c r="AC46" i="14"/>
  <c r="Y46" i="14"/>
  <c r="X46" i="14"/>
  <c r="W46" i="14"/>
  <c r="V46" i="14"/>
  <c r="U46" i="14"/>
  <c r="T46" i="14"/>
  <c r="AH13" i="14"/>
  <c r="AG13" i="14"/>
  <c r="AF13" i="14"/>
  <c r="AE13" i="14"/>
  <c r="AD13" i="14"/>
  <c r="AC13" i="14"/>
  <c r="Y13" i="14"/>
  <c r="X13" i="14"/>
  <c r="W13" i="14"/>
  <c r="V13" i="14"/>
  <c r="U13" i="14"/>
  <c r="T13" i="14"/>
  <c r="G75" i="14"/>
  <c r="F75" i="14"/>
  <c r="E75" i="14"/>
  <c r="D75" i="14"/>
  <c r="C75" i="14"/>
  <c r="B75" i="14"/>
  <c r="P46" i="14"/>
  <c r="O46" i="14"/>
  <c r="N46" i="14"/>
  <c r="M46" i="14"/>
  <c r="L46" i="14"/>
  <c r="K46" i="14"/>
  <c r="G46" i="14"/>
  <c r="F46" i="14"/>
  <c r="E46" i="14"/>
  <c r="D46" i="14"/>
  <c r="C46" i="14"/>
  <c r="B46" i="14"/>
  <c r="P13" i="14"/>
  <c r="O13" i="14"/>
  <c r="N13" i="14"/>
  <c r="M13" i="14"/>
  <c r="L13" i="14"/>
  <c r="K13" i="14"/>
  <c r="G13" i="14"/>
  <c r="F13" i="14"/>
  <c r="E13" i="14"/>
  <c r="D13" i="14"/>
  <c r="C13" i="14"/>
  <c r="B13" i="14"/>
  <c r="AH39" i="16"/>
  <c r="AG39" i="16"/>
  <c r="AF39" i="16"/>
  <c r="AE39" i="16"/>
  <c r="Z39" i="16"/>
  <c r="Y39" i="16"/>
  <c r="X39" i="16"/>
  <c r="W39" i="16"/>
  <c r="S39" i="16"/>
  <c r="R39" i="16"/>
  <c r="Q39" i="16"/>
  <c r="P39" i="16"/>
  <c r="L39" i="16"/>
  <c r="K39" i="16"/>
  <c r="J39" i="16"/>
  <c r="I39" i="16"/>
  <c r="E39" i="16"/>
  <c r="D39" i="16"/>
  <c r="C39" i="16"/>
  <c r="B39" i="16"/>
  <c r="Z10" i="16"/>
  <c r="Y10" i="16"/>
  <c r="X10" i="16"/>
  <c r="W10" i="16"/>
  <c r="S10" i="16"/>
  <c r="R10" i="16"/>
  <c r="Q10" i="16"/>
  <c r="P10" i="16"/>
  <c r="L10" i="16"/>
  <c r="K10" i="16"/>
  <c r="J10" i="16"/>
  <c r="I10" i="16"/>
  <c r="E10" i="16"/>
  <c r="C10" i="16"/>
  <c r="B10" i="16"/>
  <c r="AE11" i="4"/>
  <c r="R11" i="4"/>
  <c r="Q9" i="4"/>
  <c r="R9" i="4"/>
  <c r="BZ28" i="7"/>
  <c r="BZ25" i="7"/>
  <c r="BZ24" i="7"/>
  <c r="BZ18" i="7"/>
  <c r="BZ17" i="7"/>
  <c r="BZ16" i="7"/>
  <c r="BZ15" i="7"/>
  <c r="BY8" i="7"/>
  <c r="N10" i="15"/>
  <c r="P10" i="15" s="1"/>
  <c r="G73" i="14"/>
  <c r="F73" i="14"/>
  <c r="E73" i="14"/>
  <c r="D73" i="14"/>
  <c r="C73" i="14"/>
  <c r="B73" i="14"/>
  <c r="G74" i="14"/>
  <c r="F74" i="14"/>
  <c r="E74" i="14"/>
  <c r="D74" i="14"/>
  <c r="C74" i="14"/>
  <c r="B74" i="14"/>
  <c r="AH44" i="14"/>
  <c r="AG44" i="14"/>
  <c r="AF44" i="14"/>
  <c r="AE44" i="14"/>
  <c r="AD44" i="14"/>
  <c r="AC44" i="14"/>
  <c r="AH45" i="14"/>
  <c r="AG45" i="14"/>
  <c r="AF45" i="14"/>
  <c r="AE45" i="14"/>
  <c r="AD45" i="14"/>
  <c r="AC45" i="14"/>
  <c r="Y44" i="14"/>
  <c r="X44" i="14"/>
  <c r="W44" i="14"/>
  <c r="V44" i="14"/>
  <c r="U44" i="14"/>
  <c r="T44" i="14"/>
  <c r="Y45" i="14"/>
  <c r="X45" i="14"/>
  <c r="W45" i="14"/>
  <c r="V45" i="14"/>
  <c r="U45" i="14"/>
  <c r="T45" i="14"/>
  <c r="P44" i="14"/>
  <c r="O44" i="14"/>
  <c r="N44" i="14"/>
  <c r="M44" i="14"/>
  <c r="L44" i="14"/>
  <c r="K44" i="14"/>
  <c r="P45" i="14"/>
  <c r="O45" i="14"/>
  <c r="N45" i="14"/>
  <c r="M45" i="14"/>
  <c r="L45" i="14"/>
  <c r="K45" i="14"/>
  <c r="G44" i="14"/>
  <c r="F44" i="14"/>
  <c r="E44" i="14"/>
  <c r="D44" i="14"/>
  <c r="C44" i="14"/>
  <c r="B44" i="14"/>
  <c r="G45" i="14"/>
  <c r="F45" i="14"/>
  <c r="E45" i="14"/>
  <c r="D45" i="14"/>
  <c r="C45" i="14"/>
  <c r="B45" i="14"/>
  <c r="AH11" i="14"/>
  <c r="AG11" i="14"/>
  <c r="AF11" i="14"/>
  <c r="AE11" i="14"/>
  <c r="AD11" i="14"/>
  <c r="AC11" i="14"/>
  <c r="AH12" i="14"/>
  <c r="AG12" i="14"/>
  <c r="AF12" i="14"/>
  <c r="AE12" i="14"/>
  <c r="AD12" i="14"/>
  <c r="AC12" i="14"/>
  <c r="Y11" i="14"/>
  <c r="X11" i="14"/>
  <c r="W11" i="14"/>
  <c r="V11" i="14"/>
  <c r="U11" i="14"/>
  <c r="T11" i="14"/>
  <c r="Y12" i="14"/>
  <c r="X12" i="14"/>
  <c r="W12" i="14"/>
  <c r="V12" i="14"/>
  <c r="U12" i="14"/>
  <c r="T12" i="14"/>
  <c r="P11" i="14"/>
  <c r="O11" i="14"/>
  <c r="N11" i="14"/>
  <c r="M11" i="14"/>
  <c r="L11" i="14"/>
  <c r="K11" i="14"/>
  <c r="P12" i="14"/>
  <c r="O12" i="14"/>
  <c r="N12" i="14"/>
  <c r="M12" i="14"/>
  <c r="L12" i="14"/>
  <c r="K12" i="14"/>
  <c r="G12" i="14"/>
  <c r="F12" i="14"/>
  <c r="E12" i="14"/>
  <c r="D12" i="14"/>
  <c r="C12" i="14"/>
  <c r="B12" i="14"/>
  <c r="G11" i="14"/>
  <c r="F11" i="14"/>
  <c r="E11" i="14"/>
  <c r="D11" i="14"/>
  <c r="C11" i="14"/>
  <c r="B11" i="14"/>
  <c r="G61" i="11"/>
  <c r="G60" i="11"/>
  <c r="G59" i="11"/>
  <c r="G58" i="11"/>
  <c r="F61" i="11"/>
  <c r="F60" i="11"/>
  <c r="F59" i="11"/>
  <c r="F58" i="11"/>
  <c r="CE34" i="11"/>
  <c r="CE33" i="11"/>
  <c r="CE32" i="11"/>
  <c r="CE31" i="11"/>
  <c r="BG34" i="11"/>
  <c r="BG33" i="11"/>
  <c r="BG32" i="11"/>
  <c r="BG31" i="11"/>
  <c r="AI34" i="11"/>
  <c r="AI33" i="11"/>
  <c r="AI32" i="11"/>
  <c r="AI31" i="11"/>
  <c r="K34" i="11"/>
  <c r="K33" i="11"/>
  <c r="K32" i="11"/>
  <c r="K31" i="11"/>
  <c r="CE7" i="11"/>
  <c r="CE6" i="11"/>
  <c r="CE5" i="11"/>
  <c r="CE4" i="11"/>
  <c r="BG7" i="11"/>
  <c r="BG6" i="11"/>
  <c r="BG5" i="11"/>
  <c r="BG4" i="11"/>
  <c r="AI7" i="11"/>
  <c r="AI6" i="11"/>
  <c r="AI5" i="11"/>
  <c r="AI4" i="11"/>
  <c r="K7" i="11"/>
  <c r="K6" i="11"/>
  <c r="K5" i="11"/>
  <c r="K4" i="11"/>
  <c r="CD34" i="11"/>
  <c r="CD33" i="11"/>
  <c r="CD32" i="11"/>
  <c r="CD31" i="11"/>
  <c r="BF34" i="11"/>
  <c r="BF33" i="11"/>
  <c r="BF32" i="11"/>
  <c r="BF31" i="11"/>
  <c r="AH34" i="11"/>
  <c r="AH33" i="11"/>
  <c r="AH32" i="11"/>
  <c r="AH31" i="11"/>
  <c r="J34" i="11"/>
  <c r="J33" i="11"/>
  <c r="J32" i="11"/>
  <c r="J31" i="11"/>
  <c r="CD7" i="11"/>
  <c r="CD6" i="11"/>
  <c r="CD5" i="11"/>
  <c r="CD4" i="11"/>
  <c r="BF7" i="11"/>
  <c r="BF6" i="11"/>
  <c r="BF5" i="11"/>
  <c r="BF4" i="11"/>
  <c r="AH7" i="11"/>
  <c r="AH6" i="11"/>
  <c r="AH5" i="11"/>
  <c r="AH4" i="11"/>
  <c r="J7" i="11"/>
  <c r="J6" i="11"/>
  <c r="J5" i="11"/>
  <c r="J4" i="11"/>
  <c r="Q11" i="4"/>
  <c r="AD11" i="4"/>
  <c r="AP11" i="4"/>
  <c r="AP9" i="4"/>
  <c r="BC11" i="4"/>
  <c r="BC9" i="4"/>
  <c r="AC11" i="4"/>
  <c r="AC9" i="4"/>
  <c r="P11" i="4"/>
  <c r="P9" i="4"/>
  <c r="AY34" i="11"/>
  <c r="AZ34" i="11"/>
  <c r="BA34" i="11"/>
  <c r="AY33" i="11"/>
  <c r="AZ33" i="11"/>
  <c r="BA33" i="11"/>
  <c r="AY32" i="11"/>
  <c r="AZ32" i="11"/>
  <c r="BA32" i="11"/>
  <c r="BA31" i="11"/>
  <c r="AZ31" i="11"/>
  <c r="AY31" i="11"/>
  <c r="G72" i="14"/>
  <c r="G71" i="14"/>
  <c r="G70" i="14"/>
  <c r="F72" i="14"/>
  <c r="F71" i="14"/>
  <c r="F70" i="14"/>
  <c r="E72" i="14"/>
  <c r="E71" i="14"/>
  <c r="E70" i="14"/>
  <c r="C72" i="14"/>
  <c r="C71" i="14"/>
  <c r="C70" i="14"/>
  <c r="D72" i="14"/>
  <c r="D71" i="14"/>
  <c r="D70" i="14"/>
  <c r="B72" i="14"/>
  <c r="B71" i="14"/>
  <c r="B70" i="14"/>
  <c r="C67" i="14"/>
  <c r="D67" i="14" s="1"/>
  <c r="E67" i="14" s="1"/>
  <c r="F67" i="14" s="1"/>
  <c r="G67" i="14" s="1"/>
  <c r="E61" i="11"/>
  <c r="D61" i="11"/>
  <c r="C61" i="11"/>
  <c r="E60" i="11"/>
  <c r="D60" i="11"/>
  <c r="C60" i="11"/>
  <c r="E59" i="11"/>
  <c r="D59" i="11"/>
  <c r="C59" i="11"/>
  <c r="E58" i="11"/>
  <c r="D58" i="11"/>
  <c r="C58" i="11"/>
  <c r="AC43" i="14"/>
  <c r="B43" i="14"/>
  <c r="P10" i="14"/>
  <c r="O10" i="14"/>
  <c r="N10" i="14"/>
  <c r="M10" i="14"/>
  <c r="L10" i="14"/>
  <c r="K10" i="14"/>
  <c r="G10" i="14"/>
  <c r="F10" i="14"/>
  <c r="E10" i="14"/>
  <c r="D10" i="14"/>
  <c r="C10" i="14"/>
  <c r="B10" i="14"/>
  <c r="BY9" i="7"/>
  <c r="BY10" i="7"/>
  <c r="BY11" i="7"/>
  <c r="BY12" i="7"/>
  <c r="N9" i="15"/>
  <c r="P9" i="15" s="1"/>
  <c r="AU9" i="4" l="1"/>
  <c r="AU11" i="4"/>
  <c r="CA30" i="7"/>
  <c r="CA28" i="7"/>
  <c r="CA25" i="7"/>
  <c r="CA24" i="7"/>
  <c r="CA22" i="7"/>
  <c r="CA18" i="7"/>
  <c r="CA17" i="7"/>
  <c r="CA16" i="7"/>
  <c r="CA15" i="7"/>
  <c r="CC34" i="11"/>
  <c r="CC33" i="11"/>
  <c r="CC32" i="11"/>
  <c r="CC31" i="11"/>
  <c r="CB34" i="11"/>
  <c r="CB33" i="11"/>
  <c r="CB32" i="11"/>
  <c r="CB31" i="11"/>
  <c r="CA34" i="11"/>
  <c r="CA33" i="11"/>
  <c r="CA32" i="11"/>
  <c r="CA31" i="11"/>
  <c r="BY34" i="11"/>
  <c r="BY33" i="11"/>
  <c r="BY32" i="11"/>
  <c r="BY31" i="11"/>
  <c r="BX34" i="11"/>
  <c r="BX33" i="11"/>
  <c r="BX32" i="11"/>
  <c r="BX31" i="11"/>
  <c r="BW34" i="11"/>
  <c r="BW33" i="11"/>
  <c r="BW32" i="11"/>
  <c r="BW31" i="11"/>
  <c r="F8" i="15"/>
  <c r="E8" i="15"/>
  <c r="D8" i="15"/>
  <c r="C8" i="15"/>
  <c r="B8" i="15"/>
  <c r="D6" i="15"/>
  <c r="BZ34" i="11" l="1"/>
  <c r="BZ33" i="11"/>
  <c r="CP33" i="11" s="1"/>
  <c r="CA32" i="7"/>
  <c r="BZ31" i="11"/>
  <c r="CP31" i="11" s="1"/>
  <c r="BZ32" i="11"/>
  <c r="CP32" i="11" s="1"/>
  <c r="AX9" i="4"/>
  <c r="AK9" i="4"/>
  <c r="X9" i="4"/>
  <c r="K9" i="4"/>
  <c r="AW9" i="4"/>
  <c r="AJ9" i="4"/>
  <c r="W9" i="4"/>
  <c r="J9" i="4"/>
  <c r="AI9" i="4"/>
  <c r="V9" i="4"/>
  <c r="I9" i="4"/>
  <c r="AH9" i="4"/>
  <c r="U9" i="4"/>
  <c r="H9" i="4"/>
  <c r="N8" i="15"/>
  <c r="AH38" i="16"/>
  <c r="AH37" i="16"/>
  <c r="AG38" i="16"/>
  <c r="AG37" i="16"/>
  <c r="Q37" i="16"/>
  <c r="J37" i="16"/>
  <c r="C37" i="16"/>
  <c r="AF38" i="16"/>
  <c r="AF37" i="16"/>
  <c r="AE38" i="16"/>
  <c r="AE37" i="16"/>
  <c r="Z38" i="16"/>
  <c r="Z37" i="16"/>
  <c r="Z35" i="16"/>
  <c r="Z34" i="16"/>
  <c r="Z33" i="16"/>
  <c r="Z36" i="16" s="1"/>
  <c r="Y38" i="16"/>
  <c r="Y37" i="16"/>
  <c r="Y35" i="16"/>
  <c r="Y34" i="16"/>
  <c r="Y33" i="16"/>
  <c r="Y32" i="16"/>
  <c r="X38" i="16"/>
  <c r="X35" i="16"/>
  <c r="X34" i="16"/>
  <c r="X33" i="16"/>
  <c r="X32" i="16"/>
  <c r="W38" i="16"/>
  <c r="W37" i="16"/>
  <c r="W35" i="16"/>
  <c r="W34" i="16"/>
  <c r="W33" i="16"/>
  <c r="W36" i="16" s="1"/>
  <c r="W32" i="16"/>
  <c r="S38" i="16"/>
  <c r="S37" i="16"/>
  <c r="S35" i="16"/>
  <c r="S34" i="16"/>
  <c r="S33" i="16"/>
  <c r="R32" i="16"/>
  <c r="R38" i="16"/>
  <c r="R35" i="16"/>
  <c r="R34" i="16"/>
  <c r="R33" i="16"/>
  <c r="Q32" i="16"/>
  <c r="Q38" i="16"/>
  <c r="Q35" i="16"/>
  <c r="Q34" i="16"/>
  <c r="Q33" i="16"/>
  <c r="Q36" i="16" s="1"/>
  <c r="P32" i="16"/>
  <c r="P38" i="16"/>
  <c r="P37" i="16"/>
  <c r="P35" i="16"/>
  <c r="P34" i="16"/>
  <c r="P33" i="16"/>
  <c r="L38" i="16"/>
  <c r="L37" i="16"/>
  <c r="L35" i="16"/>
  <c r="L34" i="16"/>
  <c r="L33" i="16"/>
  <c r="K38" i="16"/>
  <c r="K37" i="16"/>
  <c r="K35" i="16"/>
  <c r="K34" i="16"/>
  <c r="K33" i="16"/>
  <c r="K36" i="16" s="1"/>
  <c r="K32" i="16"/>
  <c r="J38" i="16"/>
  <c r="J35" i="16"/>
  <c r="J34" i="16"/>
  <c r="J33" i="16"/>
  <c r="J32" i="16"/>
  <c r="I38" i="16"/>
  <c r="I37" i="16"/>
  <c r="I35" i="16"/>
  <c r="I34" i="16"/>
  <c r="I33" i="16"/>
  <c r="I32" i="16"/>
  <c r="E38" i="16"/>
  <c r="E37" i="16"/>
  <c r="E35" i="16"/>
  <c r="E36" i="16" s="1"/>
  <c r="E34" i="16"/>
  <c r="E33" i="16"/>
  <c r="D38" i="16"/>
  <c r="D37" i="16"/>
  <c r="D35" i="16"/>
  <c r="D34" i="16"/>
  <c r="D33" i="16"/>
  <c r="D32" i="16"/>
  <c r="C38" i="16"/>
  <c r="C35" i="16"/>
  <c r="C34" i="16"/>
  <c r="C33" i="16"/>
  <c r="C32" i="16"/>
  <c r="B38" i="16"/>
  <c r="B37" i="16"/>
  <c r="B35" i="16"/>
  <c r="B34" i="16"/>
  <c r="B33" i="16"/>
  <c r="B32" i="16"/>
  <c r="Z9" i="16"/>
  <c r="Z8" i="16"/>
  <c r="Z6" i="16"/>
  <c r="Z5" i="16"/>
  <c r="Z4" i="16"/>
  <c r="Y9" i="16"/>
  <c r="Y8" i="16"/>
  <c r="Y6" i="16"/>
  <c r="Y5" i="16"/>
  <c r="Y4" i="16"/>
  <c r="Y3" i="16"/>
  <c r="X5" i="16"/>
  <c r="X4" i="16"/>
  <c r="X7" i="16" s="1"/>
  <c r="X3" i="16"/>
  <c r="W9" i="16"/>
  <c r="W8" i="16"/>
  <c r="W6" i="16"/>
  <c r="W5" i="16"/>
  <c r="W4" i="16"/>
  <c r="W3" i="16"/>
  <c r="S9" i="16"/>
  <c r="S8" i="16"/>
  <c r="S6" i="16"/>
  <c r="S5" i="16"/>
  <c r="S4" i="16"/>
  <c r="R9" i="16"/>
  <c r="R8" i="16"/>
  <c r="R6" i="16"/>
  <c r="R5" i="16"/>
  <c r="R4" i="16"/>
  <c r="R7" i="16" s="1"/>
  <c r="R3" i="16"/>
  <c r="Q9" i="16"/>
  <c r="Q6" i="16"/>
  <c r="Q5" i="16"/>
  <c r="Q4" i="16"/>
  <c r="Q3" i="16"/>
  <c r="P9" i="16"/>
  <c r="P8" i="16"/>
  <c r="P6" i="16"/>
  <c r="P5" i="16"/>
  <c r="P4" i="16"/>
  <c r="P3" i="16"/>
  <c r="L9" i="16"/>
  <c r="L8" i="16"/>
  <c r="L6" i="16"/>
  <c r="L5" i="16"/>
  <c r="L4" i="16"/>
  <c r="K9" i="16"/>
  <c r="K8" i="16"/>
  <c r="K6" i="16"/>
  <c r="K5" i="16"/>
  <c r="K4" i="16"/>
  <c r="K3" i="16"/>
  <c r="J9" i="16"/>
  <c r="J6" i="16"/>
  <c r="J5" i="16"/>
  <c r="J4" i="16"/>
  <c r="J3" i="16"/>
  <c r="I9" i="16"/>
  <c r="I8" i="16"/>
  <c r="I6" i="16"/>
  <c r="I5" i="16"/>
  <c r="I4" i="16"/>
  <c r="I3" i="16"/>
  <c r="E8" i="16"/>
  <c r="E6" i="16"/>
  <c r="E9" i="16"/>
  <c r="E5" i="16"/>
  <c r="E4" i="16"/>
  <c r="D9" i="16"/>
  <c r="D8" i="16"/>
  <c r="D6" i="16"/>
  <c r="D5" i="16"/>
  <c r="D4" i="16"/>
  <c r="D7" i="16" s="1"/>
  <c r="D3" i="16"/>
  <c r="C9" i="16"/>
  <c r="C6" i="16"/>
  <c r="C5" i="16"/>
  <c r="C4" i="16"/>
  <c r="C3" i="16"/>
  <c r="B9" i="16"/>
  <c r="B8" i="16"/>
  <c r="B6" i="16"/>
  <c r="B5" i="16"/>
  <c r="B4" i="16"/>
  <c r="B3" i="16"/>
  <c r="Y7" i="16" l="1"/>
  <c r="J7" i="16"/>
  <c r="P7" i="16"/>
  <c r="C36" i="16"/>
  <c r="I36" i="16"/>
  <c r="L36" i="16"/>
  <c r="S7" i="16"/>
  <c r="Q7" i="16"/>
  <c r="W7" i="16"/>
  <c r="J36" i="16"/>
  <c r="P36" i="16"/>
  <c r="Y36" i="16"/>
  <c r="R36" i="16"/>
  <c r="X36" i="16"/>
  <c r="C7" i="16"/>
  <c r="I7" i="16"/>
  <c r="L7" i="16"/>
  <c r="B36" i="16"/>
  <c r="B7" i="16"/>
  <c r="Z7" i="16"/>
  <c r="E7" i="16"/>
  <c r="K7" i="16"/>
  <c r="D36" i="16"/>
  <c r="CP36" i="11"/>
  <c r="CO34" i="11"/>
  <c r="CP34" i="11"/>
  <c r="CP35" i="11" s="1"/>
  <c r="CN32" i="11"/>
  <c r="CO32" i="11"/>
  <c r="CN31" i="11"/>
  <c r="CO31" i="11"/>
  <c r="CN33" i="11"/>
  <c r="CO33" i="11"/>
  <c r="CJ34" i="11"/>
  <c r="CN34" i="11"/>
  <c r="CK34" i="11"/>
  <c r="CK32" i="11"/>
  <c r="CM32" i="11"/>
  <c r="CK31" i="11"/>
  <c r="CM31" i="11"/>
  <c r="CK33" i="11"/>
  <c r="CM33" i="11"/>
  <c r="CL34" i="11"/>
  <c r="CM34" i="11"/>
  <c r="CL33" i="11"/>
  <c r="CJ33" i="11"/>
  <c r="CJ31" i="11"/>
  <c r="CJ32" i="11"/>
  <c r="CL32" i="11"/>
  <c r="CL31" i="11"/>
  <c r="O8" i="15"/>
  <c r="P8" i="15" s="1"/>
  <c r="AH43" i="14"/>
  <c r="AG43" i="14"/>
  <c r="AF43" i="14"/>
  <c r="AE43" i="14"/>
  <c r="AD43" i="14"/>
  <c r="Y43" i="14"/>
  <c r="Y41" i="14"/>
  <c r="Y39" i="14"/>
  <c r="Y38" i="14"/>
  <c r="Y37" i="14"/>
  <c r="X43" i="14"/>
  <c r="W43" i="14"/>
  <c r="V43" i="14"/>
  <c r="U43" i="14"/>
  <c r="T43" i="14"/>
  <c r="P43" i="14"/>
  <c r="O43" i="14"/>
  <c r="N43" i="14"/>
  <c r="M43" i="14"/>
  <c r="L43" i="14"/>
  <c r="K43" i="14"/>
  <c r="G43" i="14"/>
  <c r="F43" i="14"/>
  <c r="E43" i="14"/>
  <c r="D43" i="14"/>
  <c r="C43" i="14"/>
  <c r="AH10" i="14"/>
  <c r="AG10" i="14"/>
  <c r="AF10" i="14"/>
  <c r="AE10" i="14"/>
  <c r="AD10" i="14"/>
  <c r="AC10" i="14"/>
  <c r="Y10" i="14"/>
  <c r="X10" i="14"/>
  <c r="W10" i="14"/>
  <c r="V10" i="14"/>
  <c r="U10" i="14"/>
  <c r="T10" i="14"/>
  <c r="B9" i="14"/>
  <c r="CC7" i="11"/>
  <c r="CB7" i="11"/>
  <c r="CA7" i="11"/>
  <c r="CC6" i="11"/>
  <c r="CB6" i="11"/>
  <c r="CA6" i="11"/>
  <c r="CC5" i="11"/>
  <c r="CB5" i="11"/>
  <c r="CA5" i="11"/>
  <c r="CC4" i="11"/>
  <c r="CB4" i="11"/>
  <c r="CA4" i="11"/>
  <c r="BE34" i="11"/>
  <c r="BE33" i="11"/>
  <c r="BE32" i="11"/>
  <c r="BE31" i="11"/>
  <c r="BE7" i="11"/>
  <c r="BE6" i="11"/>
  <c r="BE5" i="11"/>
  <c r="BE4" i="11"/>
  <c r="AG34" i="11"/>
  <c r="AG33" i="11"/>
  <c r="AG32" i="11"/>
  <c r="AG31" i="11"/>
  <c r="AG7" i="11"/>
  <c r="AG6" i="11"/>
  <c r="AG5" i="11"/>
  <c r="AG4" i="11"/>
  <c r="I33" i="11"/>
  <c r="H33" i="11"/>
  <c r="I34" i="11"/>
  <c r="I32" i="11"/>
  <c r="I31" i="11"/>
  <c r="I7" i="11"/>
  <c r="I6" i="11"/>
  <c r="I5" i="11"/>
  <c r="I4" i="11"/>
  <c r="AW11" i="4"/>
  <c r="AX11" i="4"/>
  <c r="AY11" i="4"/>
  <c r="BA11" i="4"/>
  <c r="BB11" i="4"/>
  <c r="BB9" i="4"/>
  <c r="BA9" i="4"/>
  <c r="AY9" i="4"/>
  <c r="AZ10" i="4"/>
  <c r="AZ11" i="4" s="1"/>
  <c r="AI11" i="4"/>
  <c r="AJ11" i="4"/>
  <c r="AK11" i="4"/>
  <c r="AL11" i="4"/>
  <c r="AM11" i="4"/>
  <c r="AN11" i="4"/>
  <c r="AO11" i="4"/>
  <c r="AH11" i="4"/>
  <c r="AN9" i="4"/>
  <c r="AM9" i="4"/>
  <c r="AL9" i="4"/>
  <c r="AO9" i="4"/>
  <c r="W11" i="4"/>
  <c r="X11" i="4"/>
  <c r="U11" i="4"/>
  <c r="AA11" i="4"/>
  <c r="Z11" i="4"/>
  <c r="Y11" i="4"/>
  <c r="V11" i="4"/>
  <c r="AB11" i="4"/>
  <c r="Z9" i="4"/>
  <c r="AA9" i="4"/>
  <c r="AB9" i="4"/>
  <c r="Y9" i="4"/>
  <c r="O11" i="4"/>
  <c r="N11" i="4"/>
  <c r="L11" i="4"/>
  <c r="K11" i="4"/>
  <c r="J11" i="4"/>
  <c r="I11" i="4"/>
  <c r="H11" i="4"/>
  <c r="M11" i="4"/>
  <c r="L9" i="4"/>
  <c r="M9" i="4"/>
  <c r="N9" i="4"/>
  <c r="O9" i="4"/>
  <c r="CO37" i="11" l="1"/>
  <c r="CP37" i="11"/>
  <c r="CN36" i="11"/>
  <c r="CO36" i="11"/>
  <c r="CO35" i="11"/>
  <c r="CN35" i="11"/>
  <c r="CJ37" i="11"/>
  <c r="CN37" i="11"/>
  <c r="CK37" i="11"/>
  <c r="Y40" i="14"/>
  <c r="CK36" i="11"/>
  <c r="CK35" i="11"/>
  <c r="CM37" i="11"/>
  <c r="CM36" i="11"/>
  <c r="CM35" i="11"/>
  <c r="CL37" i="11"/>
  <c r="CJ35" i="11"/>
  <c r="CJ36" i="11"/>
  <c r="CL36" i="11"/>
  <c r="CL35" i="11"/>
  <c r="AF34" i="11"/>
  <c r="AE34" i="11"/>
  <c r="AF33" i="11"/>
  <c r="AE33" i="11"/>
  <c r="AF32" i="11"/>
  <c r="AE32" i="11"/>
  <c r="AF31" i="11"/>
  <c r="AE31" i="11"/>
  <c r="BD7" i="11"/>
  <c r="BC7" i="11"/>
  <c r="BD6" i="11"/>
  <c r="BC6" i="11"/>
  <c r="BD5" i="11"/>
  <c r="BC5" i="11"/>
  <c r="BD4" i="11"/>
  <c r="BC4" i="11"/>
  <c r="AF7" i="11"/>
  <c r="AE7" i="11"/>
  <c r="AF6" i="11"/>
  <c r="AE6" i="11"/>
  <c r="AF5" i="11"/>
  <c r="AE5" i="11"/>
  <c r="AF4" i="11"/>
  <c r="AE4" i="11"/>
  <c r="H34" i="11"/>
  <c r="G34" i="11"/>
  <c r="G33" i="11"/>
  <c r="H32" i="11"/>
  <c r="G32" i="11"/>
  <c r="H31" i="11"/>
  <c r="G31" i="11"/>
  <c r="BD34" i="11"/>
  <c r="BC34" i="11"/>
  <c r="BD33" i="11"/>
  <c r="BC33" i="11"/>
  <c r="BD32" i="11"/>
  <c r="BC32" i="11"/>
  <c r="BD31" i="11"/>
  <c r="BC31" i="11"/>
  <c r="H7" i="11"/>
  <c r="G7" i="11"/>
  <c r="H6" i="11"/>
  <c r="G6" i="11"/>
  <c r="H5" i="11"/>
  <c r="G5" i="11"/>
  <c r="H4" i="11"/>
  <c r="G4" i="11"/>
  <c r="O3" i="15"/>
  <c r="O4" i="15"/>
  <c r="O5" i="15"/>
  <c r="O7" i="15"/>
  <c r="N7" i="15"/>
  <c r="N6" i="15"/>
  <c r="O6" i="15"/>
  <c r="AH42" i="14"/>
  <c r="AG42" i="14"/>
  <c r="AF42" i="14"/>
  <c r="AE42" i="14"/>
  <c r="AD42" i="14"/>
  <c r="AC42" i="14"/>
  <c r="AC41" i="14"/>
  <c r="AC39" i="14"/>
  <c r="AC38" i="14"/>
  <c r="AC37" i="14"/>
  <c r="Y42" i="14"/>
  <c r="X42" i="14"/>
  <c r="W42" i="14"/>
  <c r="V42" i="14"/>
  <c r="U42" i="14"/>
  <c r="T42" i="14"/>
  <c r="P42" i="14"/>
  <c r="O42" i="14"/>
  <c r="N42" i="14"/>
  <c r="M42" i="14"/>
  <c r="L42" i="14"/>
  <c r="K42" i="14"/>
  <c r="G42" i="14"/>
  <c r="F42" i="14"/>
  <c r="E42" i="14"/>
  <c r="D42" i="14"/>
  <c r="C42" i="14"/>
  <c r="B42" i="14"/>
  <c r="AH9" i="14"/>
  <c r="AG9" i="14"/>
  <c r="AF9" i="14"/>
  <c r="AE9" i="14"/>
  <c r="AD9" i="14"/>
  <c r="AC9" i="14"/>
  <c r="Y9" i="14"/>
  <c r="X9" i="14"/>
  <c r="W9" i="14"/>
  <c r="V9" i="14"/>
  <c r="U9" i="14"/>
  <c r="T9" i="14"/>
  <c r="P9" i="14"/>
  <c r="O9" i="14"/>
  <c r="N9" i="14"/>
  <c r="M9" i="14"/>
  <c r="L9" i="14"/>
  <c r="K9" i="14"/>
  <c r="G9" i="14"/>
  <c r="F9" i="14"/>
  <c r="E9" i="14"/>
  <c r="D9" i="14"/>
  <c r="C9" i="14"/>
  <c r="AH41" i="14"/>
  <c r="AH39" i="14"/>
  <c r="AH38" i="14"/>
  <c r="AH37" i="14"/>
  <c r="AG41" i="14"/>
  <c r="AG39" i="14"/>
  <c r="AG38" i="14"/>
  <c r="AG37" i="14"/>
  <c r="AF41" i="14"/>
  <c r="AF39" i="14"/>
  <c r="AF38" i="14"/>
  <c r="AF37" i="14"/>
  <c r="AE41" i="14"/>
  <c r="AE39" i="14"/>
  <c r="AE38" i="14"/>
  <c r="AE37" i="14"/>
  <c r="AD41" i="14"/>
  <c r="AD39" i="14"/>
  <c r="AD38" i="14"/>
  <c r="AD37" i="14"/>
  <c r="AD35" i="14"/>
  <c r="AE35" i="14" s="1"/>
  <c r="AF35" i="14" s="1"/>
  <c r="AG35" i="14" s="1"/>
  <c r="AH35" i="14" s="1"/>
  <c r="U35" i="14"/>
  <c r="V35" i="14" s="1"/>
  <c r="W35" i="14" s="1"/>
  <c r="X35" i="14" s="1"/>
  <c r="Y35" i="14" s="1"/>
  <c r="L35" i="14"/>
  <c r="M35" i="14" s="1"/>
  <c r="N35" i="14" s="1"/>
  <c r="O35" i="14" s="1"/>
  <c r="P35" i="14" s="1"/>
  <c r="AD2" i="14"/>
  <c r="AE2" i="14" s="1"/>
  <c r="AF2" i="14" s="1"/>
  <c r="AG2" i="14" s="1"/>
  <c r="AH2" i="14" s="1"/>
  <c r="U2" i="14"/>
  <c r="V2" i="14" s="1"/>
  <c r="W2" i="14" s="1"/>
  <c r="X2" i="14" s="1"/>
  <c r="Y2" i="14" s="1"/>
  <c r="L2" i="14"/>
  <c r="M2" i="14" s="1"/>
  <c r="N2" i="14" s="1"/>
  <c r="O2" i="14" s="1"/>
  <c r="P2" i="14" s="1"/>
  <c r="C2" i="14"/>
  <c r="D2" i="14" s="1"/>
  <c r="E2" i="14" s="1"/>
  <c r="F2" i="14" s="1"/>
  <c r="G2" i="14" s="1"/>
  <c r="X41" i="14"/>
  <c r="X39" i="14"/>
  <c r="X38" i="14"/>
  <c r="X37" i="14"/>
  <c r="W41" i="14"/>
  <c r="W39" i="14"/>
  <c r="W38" i="14"/>
  <c r="W37" i="14"/>
  <c r="V41" i="14"/>
  <c r="V39" i="14"/>
  <c r="V38" i="14"/>
  <c r="V37" i="14"/>
  <c r="U41" i="14"/>
  <c r="U39" i="14"/>
  <c r="U38" i="14"/>
  <c r="U37" i="14"/>
  <c r="T41" i="14"/>
  <c r="T39" i="14"/>
  <c r="T38" i="14"/>
  <c r="T37" i="14"/>
  <c r="P41" i="14"/>
  <c r="P39" i="14"/>
  <c r="P38" i="14"/>
  <c r="P37" i="14"/>
  <c r="O41" i="14"/>
  <c r="O39" i="14"/>
  <c r="O38" i="14"/>
  <c r="O37" i="14"/>
  <c r="N41" i="14"/>
  <c r="N39" i="14"/>
  <c r="N38" i="14"/>
  <c r="N37" i="14"/>
  <c r="M41" i="14"/>
  <c r="M39" i="14"/>
  <c r="M38" i="14"/>
  <c r="M37" i="14"/>
  <c r="L41" i="14"/>
  <c r="L39" i="14"/>
  <c r="L38" i="14"/>
  <c r="L37" i="14"/>
  <c r="K41" i="14"/>
  <c r="K39" i="14"/>
  <c r="K38" i="14"/>
  <c r="K37" i="14"/>
  <c r="G41" i="14"/>
  <c r="G39" i="14"/>
  <c r="G38" i="14"/>
  <c r="G37" i="14"/>
  <c r="F41" i="14"/>
  <c r="F39" i="14"/>
  <c r="F38" i="14"/>
  <c r="F37" i="14"/>
  <c r="E41" i="14"/>
  <c r="E39" i="14"/>
  <c r="E38" i="14"/>
  <c r="E37" i="14"/>
  <c r="D41" i="14"/>
  <c r="D39" i="14"/>
  <c r="D38" i="14"/>
  <c r="D37" i="14"/>
  <c r="AC6" i="14"/>
  <c r="Y6" i="14"/>
  <c r="X6" i="14"/>
  <c r="W6" i="14"/>
  <c r="V6" i="14"/>
  <c r="U6" i="14"/>
  <c r="C41" i="14"/>
  <c r="C39" i="14"/>
  <c r="C38" i="14"/>
  <c r="C37" i="14"/>
  <c r="B41" i="14"/>
  <c r="B39" i="14"/>
  <c r="B38" i="14"/>
  <c r="B37" i="14"/>
  <c r="C35" i="14"/>
  <c r="D35" i="14" s="1"/>
  <c r="E35" i="14" s="1"/>
  <c r="F35" i="14" s="1"/>
  <c r="G35" i="14" s="1"/>
  <c r="AG8" i="14"/>
  <c r="AG6" i="14"/>
  <c r="AG5" i="14"/>
  <c r="AG4" i="14"/>
  <c r="AH8" i="14"/>
  <c r="AH6" i="14"/>
  <c r="AH5" i="14"/>
  <c r="AH4" i="14"/>
  <c r="AF8" i="14"/>
  <c r="AF6" i="14"/>
  <c r="AF5" i="14"/>
  <c r="AF4" i="14"/>
  <c r="AE8" i="14"/>
  <c r="AE6" i="14"/>
  <c r="AE5" i="14"/>
  <c r="AE4" i="14"/>
  <c r="AD8" i="14"/>
  <c r="AD6" i="14"/>
  <c r="AD5" i="14"/>
  <c r="AD4" i="14"/>
  <c r="AC8" i="14"/>
  <c r="AC5" i="14"/>
  <c r="AC4" i="14"/>
  <c r="Y8" i="14"/>
  <c r="Y5" i="14"/>
  <c r="Y4" i="14"/>
  <c r="X8" i="14"/>
  <c r="X5" i="14"/>
  <c r="X4" i="14"/>
  <c r="W8" i="14"/>
  <c r="W5" i="14"/>
  <c r="W4" i="14"/>
  <c r="V8" i="14"/>
  <c r="V5" i="14"/>
  <c r="V4" i="14"/>
  <c r="U8" i="14"/>
  <c r="U5" i="14"/>
  <c r="U4" i="14"/>
  <c r="T8" i="14"/>
  <c r="T6" i="14"/>
  <c r="T5" i="14"/>
  <c r="T4" i="14"/>
  <c r="P8" i="14"/>
  <c r="P6" i="14"/>
  <c r="P5" i="14"/>
  <c r="P4" i="14"/>
  <c r="O8" i="14"/>
  <c r="O6" i="14"/>
  <c r="O5" i="14"/>
  <c r="O4" i="14"/>
  <c r="N8" i="14"/>
  <c r="N6" i="14"/>
  <c r="N5" i="14"/>
  <c r="N4" i="14"/>
  <c r="M8" i="14"/>
  <c r="M6" i="14"/>
  <c r="M5" i="14"/>
  <c r="M4" i="14"/>
  <c r="L8" i="14"/>
  <c r="L6" i="14"/>
  <c r="L5" i="14"/>
  <c r="L4" i="14"/>
  <c r="K8" i="14"/>
  <c r="K6" i="14"/>
  <c r="K5" i="14"/>
  <c r="K4" i="14"/>
  <c r="G8" i="14"/>
  <c r="G6" i="14"/>
  <c r="G5" i="14"/>
  <c r="G4" i="14"/>
  <c r="F8" i="14"/>
  <c r="F6" i="14"/>
  <c r="F5" i="14"/>
  <c r="F4" i="14"/>
  <c r="E8" i="14"/>
  <c r="E6" i="14"/>
  <c r="E5" i="14"/>
  <c r="E4" i="14"/>
  <c r="D8" i="14"/>
  <c r="D6" i="14"/>
  <c r="D5" i="14"/>
  <c r="D4" i="14"/>
  <c r="C8" i="14"/>
  <c r="C6" i="14"/>
  <c r="C5" i="14"/>
  <c r="C4" i="14"/>
  <c r="B8" i="14"/>
  <c r="B6" i="14"/>
  <c r="B5" i="14"/>
  <c r="B4" i="14"/>
  <c r="BB34" i="11"/>
  <c r="AD34" i="11"/>
  <c r="F34" i="11"/>
  <c r="BB33" i="11"/>
  <c r="BS33" i="11" s="1"/>
  <c r="AD33" i="11"/>
  <c r="F33" i="11"/>
  <c r="BB32" i="11"/>
  <c r="AD32" i="11"/>
  <c r="F32" i="11"/>
  <c r="BB31" i="11"/>
  <c r="AD31" i="11"/>
  <c r="F31" i="11"/>
  <c r="BZ7" i="11"/>
  <c r="CP7" i="11" s="1"/>
  <c r="BB7" i="11"/>
  <c r="AD7" i="11"/>
  <c r="F7" i="11"/>
  <c r="BZ6" i="11"/>
  <c r="CP6" i="11" s="1"/>
  <c r="BB6" i="11"/>
  <c r="AD6" i="11"/>
  <c r="F6" i="11"/>
  <c r="BZ5" i="11"/>
  <c r="CP5" i="11" s="1"/>
  <c r="BB5" i="11"/>
  <c r="AD5" i="11"/>
  <c r="F5" i="11"/>
  <c r="BZ4" i="11"/>
  <c r="CP4" i="11" s="1"/>
  <c r="BB4" i="11"/>
  <c r="AD4" i="11"/>
  <c r="F4" i="11"/>
  <c r="O14" i="15" l="1"/>
  <c r="N14" i="15"/>
  <c r="BR6" i="11"/>
  <c r="BS6" i="11"/>
  <c r="BS4" i="11"/>
  <c r="BR5" i="11"/>
  <c r="BS5" i="11"/>
  <c r="BR7" i="11"/>
  <c r="BR10" i="11" s="1"/>
  <c r="BS7" i="11"/>
  <c r="BS36" i="11"/>
  <c r="BR34" i="11"/>
  <c r="BS35" i="11"/>
  <c r="BS37" i="11"/>
  <c r="AT32" i="11"/>
  <c r="AU32" i="11"/>
  <c r="AT6" i="11"/>
  <c r="AU6" i="11"/>
  <c r="AT5" i="11"/>
  <c r="AU5" i="11"/>
  <c r="AT7" i="11"/>
  <c r="AU7" i="11"/>
  <c r="AT4" i="11"/>
  <c r="AU4" i="11"/>
  <c r="AT36" i="11"/>
  <c r="AU31" i="11"/>
  <c r="AT33" i="11"/>
  <c r="AU33" i="11"/>
  <c r="AT34" i="11"/>
  <c r="AT37" i="11" s="1"/>
  <c r="AU34" i="11"/>
  <c r="V32" i="11"/>
  <c r="W32" i="11"/>
  <c r="V34" i="11"/>
  <c r="W34" i="11"/>
  <c r="V7" i="11"/>
  <c r="W7" i="11"/>
  <c r="V33" i="11"/>
  <c r="W33" i="11"/>
  <c r="W37" i="11" s="1"/>
  <c r="V5" i="11"/>
  <c r="W5" i="11"/>
  <c r="V4" i="11"/>
  <c r="W4" i="11"/>
  <c r="V6" i="11"/>
  <c r="V10" i="11" s="1"/>
  <c r="W6" i="11"/>
  <c r="W10" i="11" s="1"/>
  <c r="V31" i="11"/>
  <c r="W31" i="11"/>
  <c r="CP10" i="11"/>
  <c r="CP9" i="11"/>
  <c r="CP8" i="11"/>
  <c r="BQ33" i="11"/>
  <c r="BR33" i="11"/>
  <c r="BQ31" i="11"/>
  <c r="BR31" i="11"/>
  <c r="BQ32" i="11"/>
  <c r="BR32" i="11"/>
  <c r="CN5" i="11"/>
  <c r="CO5" i="11"/>
  <c r="CN7" i="11"/>
  <c r="CO7" i="11"/>
  <c r="CN4" i="11"/>
  <c r="CO4" i="11"/>
  <c r="CN6" i="11"/>
  <c r="CO6" i="11"/>
  <c r="BP4" i="11"/>
  <c r="BQ4" i="11"/>
  <c r="BP34" i="11"/>
  <c r="BQ34" i="11"/>
  <c r="BP5" i="11"/>
  <c r="BQ5" i="11"/>
  <c r="BP7" i="11"/>
  <c r="BQ7" i="11"/>
  <c r="BP6" i="11"/>
  <c r="BQ6" i="11"/>
  <c r="AR32" i="11"/>
  <c r="AS32" i="11"/>
  <c r="AR5" i="11"/>
  <c r="AS5" i="11"/>
  <c r="AR7" i="11"/>
  <c r="AS7" i="11"/>
  <c r="AR33" i="11"/>
  <c r="AS33" i="11"/>
  <c r="AR4" i="11"/>
  <c r="AS4" i="11"/>
  <c r="AR6" i="11"/>
  <c r="AS6" i="11"/>
  <c r="AR31" i="11"/>
  <c r="AS31" i="11"/>
  <c r="AR34" i="11"/>
  <c r="AS34" i="11"/>
  <c r="T7" i="11"/>
  <c r="U7" i="11"/>
  <c r="T32" i="11"/>
  <c r="U32" i="11"/>
  <c r="T5" i="11"/>
  <c r="U5" i="11"/>
  <c r="T4" i="11"/>
  <c r="U4" i="11"/>
  <c r="T6" i="11"/>
  <c r="T10" i="11" s="1"/>
  <c r="U6" i="11"/>
  <c r="T31" i="11"/>
  <c r="U31" i="11"/>
  <c r="T33" i="11"/>
  <c r="U33" i="11"/>
  <c r="T34" i="11"/>
  <c r="U34" i="11"/>
  <c r="BP31" i="11"/>
  <c r="BO31" i="11"/>
  <c r="BN31" i="11"/>
  <c r="BM31" i="11"/>
  <c r="BL31" i="11"/>
  <c r="BO32" i="11"/>
  <c r="BN32" i="11"/>
  <c r="BP32" i="11"/>
  <c r="BO33" i="11"/>
  <c r="BP33" i="11"/>
  <c r="AP4" i="11"/>
  <c r="AQ4" i="11"/>
  <c r="R34" i="11"/>
  <c r="S34" i="11"/>
  <c r="R5" i="11"/>
  <c r="S5" i="11"/>
  <c r="R7" i="11"/>
  <c r="S7" i="11"/>
  <c r="AP32" i="11"/>
  <c r="AQ32" i="11"/>
  <c r="BN6" i="11"/>
  <c r="BO6" i="11"/>
  <c r="CJ6" i="11"/>
  <c r="CM6" i="11"/>
  <c r="AP5" i="11"/>
  <c r="AQ5" i="11"/>
  <c r="AP7" i="11"/>
  <c r="AQ7" i="11"/>
  <c r="AP31" i="11"/>
  <c r="AQ31" i="11"/>
  <c r="AP34" i="11"/>
  <c r="AQ34" i="11"/>
  <c r="CJ4" i="11"/>
  <c r="CM4" i="11"/>
  <c r="R32" i="11"/>
  <c r="S32" i="11"/>
  <c r="BN5" i="11"/>
  <c r="BO5" i="11"/>
  <c r="BM7" i="11"/>
  <c r="BO7" i="11"/>
  <c r="R33" i="11"/>
  <c r="S33" i="11"/>
  <c r="AP6" i="11"/>
  <c r="AP10" i="11" s="1"/>
  <c r="AQ6" i="11"/>
  <c r="BN4" i="11"/>
  <c r="BO4" i="11"/>
  <c r="CK5" i="11"/>
  <c r="CM5" i="11"/>
  <c r="CJ7" i="11"/>
  <c r="CM7" i="11"/>
  <c r="AP33" i="11"/>
  <c r="AQ33" i="11"/>
  <c r="R4" i="11"/>
  <c r="S4" i="11"/>
  <c r="R6" i="11"/>
  <c r="S6" i="11"/>
  <c r="R31" i="11"/>
  <c r="S31" i="11"/>
  <c r="AD7" i="14"/>
  <c r="AG7" i="14"/>
  <c r="AF7" i="14"/>
  <c r="BL33" i="11"/>
  <c r="C40" i="14"/>
  <c r="BM33" i="11"/>
  <c r="BL34" i="11"/>
  <c r="BM34" i="11"/>
  <c r="AC7" i="14"/>
  <c r="E7" i="14"/>
  <c r="G7" i="14"/>
  <c r="L7" i="14"/>
  <c r="N7" i="14"/>
  <c r="P7" i="14"/>
  <c r="AD40" i="14"/>
  <c r="AF40" i="14"/>
  <c r="AH40" i="14"/>
  <c r="BL32" i="11"/>
  <c r="C7" i="14"/>
  <c r="BN34" i="11"/>
  <c r="BO34" i="11"/>
  <c r="X7" i="14"/>
  <c r="E40" i="14"/>
  <c r="G40" i="14"/>
  <c r="L40" i="14"/>
  <c r="N40" i="14"/>
  <c r="P40" i="14"/>
  <c r="U40" i="14"/>
  <c r="W40" i="14"/>
  <c r="BM32" i="11"/>
  <c r="BN33" i="11"/>
  <c r="V7" i="14"/>
  <c r="U7" i="14"/>
  <c r="B7" i="14"/>
  <c r="F7" i="14"/>
  <c r="M7" i="14"/>
  <c r="O7" i="14"/>
  <c r="T7" i="14"/>
  <c r="Y7" i="14"/>
  <c r="AE40" i="14"/>
  <c r="AG40" i="14"/>
  <c r="D7" i="14"/>
  <c r="K7" i="14"/>
  <c r="D40" i="14"/>
  <c r="F40" i="14"/>
  <c r="M40" i="14"/>
  <c r="O40" i="14"/>
  <c r="V40" i="14"/>
  <c r="X40" i="14"/>
  <c r="AC40" i="14"/>
  <c r="W7" i="14"/>
  <c r="AE7" i="14"/>
  <c r="AH7" i="14"/>
  <c r="CK4" i="11"/>
  <c r="CJ5" i="11"/>
  <c r="CK7" i="11"/>
  <c r="CL7" i="11"/>
  <c r="CL4" i="11"/>
  <c r="BN7" i="11"/>
  <c r="CK6" i="11"/>
  <c r="CL6" i="11"/>
  <c r="CL5" i="11"/>
  <c r="AO33" i="11"/>
  <c r="P6" i="15"/>
  <c r="P7" i="15"/>
  <c r="AN5" i="11"/>
  <c r="AO31" i="11"/>
  <c r="BL4" i="11"/>
  <c r="P5" i="11"/>
  <c r="AO5" i="11"/>
  <c r="BM5" i="11"/>
  <c r="AO32" i="11"/>
  <c r="AN31" i="11"/>
  <c r="BL6" i="11"/>
  <c r="AN32" i="11"/>
  <c r="AN33" i="11"/>
  <c r="BM6" i="11"/>
  <c r="AN7" i="11"/>
  <c r="AO7" i="11"/>
  <c r="AO6" i="11"/>
  <c r="AN4" i="11"/>
  <c r="AN34" i="11"/>
  <c r="AO4" i="11"/>
  <c r="BM4" i="11"/>
  <c r="AO34" i="11"/>
  <c r="P33" i="11"/>
  <c r="P6" i="11"/>
  <c r="AN6" i="11"/>
  <c r="BL5" i="11"/>
  <c r="BL7" i="11"/>
  <c r="Q5" i="11"/>
  <c r="P32" i="11"/>
  <c r="Q33" i="11"/>
  <c r="P7" i="11"/>
  <c r="Q32" i="11"/>
  <c r="Q7" i="11"/>
  <c r="P4" i="11"/>
  <c r="Q4" i="11"/>
  <c r="P34" i="11"/>
  <c r="Q34" i="11"/>
  <c r="P31" i="11"/>
  <c r="Q31" i="11"/>
  <c r="Q6" i="11"/>
  <c r="P14" i="15" l="1"/>
  <c r="BR37" i="11"/>
  <c r="V36" i="11"/>
  <c r="V37" i="11"/>
  <c r="AT8" i="11"/>
  <c r="BS8" i="11"/>
  <c r="BS9" i="11"/>
  <c r="BR9" i="11"/>
  <c r="AT35" i="11"/>
  <c r="BS10" i="11"/>
  <c r="BR8" i="11"/>
  <c r="AT10" i="11"/>
  <c r="AU37" i="11"/>
  <c r="AU35" i="11"/>
  <c r="AU36" i="11"/>
  <c r="AU10" i="11"/>
  <c r="AU8" i="11"/>
  <c r="AU9" i="11"/>
  <c r="AT9" i="11"/>
  <c r="V35" i="11"/>
  <c r="V9" i="11"/>
  <c r="V8" i="11"/>
  <c r="W8" i="11"/>
  <c r="W9" i="11"/>
  <c r="W35" i="11"/>
  <c r="W36" i="11"/>
  <c r="AQ10" i="11"/>
  <c r="BQ36" i="11"/>
  <c r="BR35" i="11"/>
  <c r="BR36" i="11"/>
  <c r="BQ37" i="11"/>
  <c r="CO10" i="11"/>
  <c r="CN10" i="11"/>
  <c r="BP9" i="11"/>
  <c r="CN9" i="11"/>
  <c r="CN8" i="11"/>
  <c r="AR36" i="11"/>
  <c r="CO8" i="11"/>
  <c r="CO9" i="11"/>
  <c r="AR9" i="11"/>
  <c r="AR10" i="11"/>
  <c r="U10" i="11"/>
  <c r="BQ35" i="11"/>
  <c r="BN9" i="11"/>
  <c r="BP37" i="11"/>
  <c r="T36" i="11"/>
  <c r="BQ10" i="11"/>
  <c r="BP8" i="11"/>
  <c r="BP10" i="11"/>
  <c r="AS37" i="11"/>
  <c r="AR37" i="11"/>
  <c r="BQ9" i="11"/>
  <c r="BQ8" i="11"/>
  <c r="T35" i="11"/>
  <c r="AR35" i="11"/>
  <c r="AP36" i="11"/>
  <c r="BO36" i="11"/>
  <c r="AR8" i="11"/>
  <c r="AS35" i="11"/>
  <c r="AS36" i="11"/>
  <c r="AS10" i="11"/>
  <c r="AS8" i="11"/>
  <c r="AS9" i="11"/>
  <c r="T8" i="11"/>
  <c r="U36" i="11"/>
  <c r="U35" i="11"/>
  <c r="T37" i="11"/>
  <c r="U37" i="11"/>
  <c r="T9" i="11"/>
  <c r="U9" i="11"/>
  <c r="U8" i="11"/>
  <c r="CJ10" i="11"/>
  <c r="BN10" i="11"/>
  <c r="R37" i="11"/>
  <c r="R36" i="11"/>
  <c r="AP8" i="11"/>
  <c r="R8" i="11"/>
  <c r="BO37" i="11"/>
  <c r="BN36" i="11"/>
  <c r="S37" i="11"/>
  <c r="BP35" i="11"/>
  <c r="BP36" i="11"/>
  <c r="R35" i="11"/>
  <c r="R10" i="11"/>
  <c r="AP35" i="11"/>
  <c r="R9" i="11"/>
  <c r="CJ9" i="11"/>
  <c r="S10" i="11"/>
  <c r="BL37" i="11"/>
  <c r="BM10" i="11"/>
  <c r="AP9" i="11"/>
  <c r="AP37" i="11"/>
  <c r="CM10" i="11"/>
  <c r="S8" i="11"/>
  <c r="S9" i="11"/>
  <c r="BO8" i="11"/>
  <c r="BO9" i="11"/>
  <c r="AQ36" i="11"/>
  <c r="AQ35" i="11"/>
  <c r="BO10" i="11"/>
  <c r="S35" i="11"/>
  <c r="S36" i="11"/>
  <c r="CM8" i="11"/>
  <c r="CM9" i="11"/>
  <c r="AQ37" i="11"/>
  <c r="AQ8" i="11"/>
  <c r="AQ9" i="11"/>
  <c r="CK9" i="11"/>
  <c r="BM37" i="11"/>
  <c r="BN37" i="11"/>
  <c r="BO35" i="11"/>
  <c r="BL36" i="11"/>
  <c r="BL35" i="11"/>
  <c r="BM36" i="11"/>
  <c r="BM35" i="11"/>
  <c r="BN35" i="11"/>
  <c r="CK10" i="11"/>
  <c r="CJ8" i="11"/>
  <c r="BN8" i="11"/>
  <c r="CK8" i="11"/>
  <c r="CL9" i="11"/>
  <c r="CL8" i="11"/>
  <c r="CL10" i="11"/>
  <c r="AO37" i="11"/>
  <c r="AN10" i="11"/>
  <c r="AO36" i="11"/>
  <c r="AO9" i="11"/>
  <c r="BL10" i="11"/>
  <c r="AO10" i="11"/>
  <c r="BM9" i="11"/>
  <c r="AN37" i="11"/>
  <c r="P36" i="11"/>
  <c r="AO35" i="11"/>
  <c r="AN9" i="11"/>
  <c r="Q37" i="11"/>
  <c r="Q10" i="11"/>
  <c r="P10" i="11"/>
  <c r="P9" i="11"/>
  <c r="AN35" i="11"/>
  <c r="AN36" i="11"/>
  <c r="P37" i="11"/>
  <c r="AO8" i="11"/>
  <c r="BL8" i="11"/>
  <c r="BM8" i="11"/>
  <c r="AN8" i="11"/>
  <c r="Q36" i="11"/>
  <c r="Q8" i="11"/>
  <c r="Q9" i="11"/>
  <c r="BL9" i="11"/>
  <c r="Q35" i="11"/>
  <c r="P35" i="11"/>
  <c r="P8" i="11"/>
</calcChain>
</file>

<file path=xl/sharedStrings.xml><?xml version="1.0" encoding="utf-8"?>
<sst xmlns="http://schemas.openxmlformats.org/spreadsheetml/2006/main" count="2268" uniqueCount="590">
  <si>
    <t>Watermonster</t>
  </si>
  <si>
    <t>S</t>
  </si>
  <si>
    <t>RW</t>
  </si>
  <si>
    <t>80% BSN</t>
  </si>
  <si>
    <t>BSN</t>
  </si>
  <si>
    <t>Eenheid</t>
  </si>
  <si>
    <t>5,00</t>
  </si>
  <si>
    <t>2,4-4,4</t>
  </si>
  <si>
    <t>3,2-5,2</t>
  </si>
  <si>
    <t>3,1-5,2</t>
  </si>
  <si>
    <t>Datum bemonstering</t>
  </si>
  <si>
    <t>3-2-2020</t>
  </si>
  <si>
    <t>30-3-2020</t>
  </si>
  <si>
    <t>IN SITU METINGEN</t>
  </si>
  <si>
    <t xml:space="preserve">	</t>
  </si>
  <si>
    <t>l</t>
  </si>
  <si>
    <t>Zintuiglijke waarneming</t>
  </si>
  <si>
    <t xml:space="preserve">matig	</t>
  </si>
  <si>
    <t xml:space="preserve">goed	</t>
  </si>
  <si>
    <t>°C</t>
  </si>
  <si>
    <t>pH</t>
  </si>
  <si>
    <t>O2</t>
  </si>
  <si>
    <t>mg/l</t>
  </si>
  <si>
    <t>Redox</t>
  </si>
  <si>
    <t>mV</t>
  </si>
  <si>
    <t>Geleidbaarheid</t>
  </si>
  <si>
    <t>µS/cm</t>
  </si>
  <si>
    <t>Aanwezigheid puur product</t>
  </si>
  <si>
    <t>PAK</t>
  </si>
  <si>
    <t>Naftaleen</t>
  </si>
  <si>
    <t>µg/l</t>
  </si>
  <si>
    <t>Fenanthreen</t>
  </si>
  <si>
    <t>Fluorantheen</t>
  </si>
  <si>
    <t>Pyreen</t>
  </si>
  <si>
    <t>Chryseen</t>
  </si>
  <si>
    <t xml:space="preserve">&lt; 0,010	</t>
  </si>
  <si>
    <t>Benzo(a)anthraceen</t>
  </si>
  <si>
    <t>Benzo(a)pyreen</t>
  </si>
  <si>
    <t>Benzo(k)fluorantheen</t>
  </si>
  <si>
    <t>Indeno-(1,2,3-c,d)pyreen</t>
  </si>
  <si>
    <t>Benzo(g,h,i)peryleen</t>
  </si>
  <si>
    <t>Benzo(b)fluorantheen</t>
  </si>
  <si>
    <t>Dibenzo(a,h)anthraceen</t>
  </si>
  <si>
    <t>Acenaftyleen</t>
  </si>
  <si>
    <t>Acenafteen</t>
  </si>
  <si>
    <t>PAK 16 EPA</t>
  </si>
  <si>
    <t>Fluoreen</t>
  </si>
  <si>
    <t>PAK 6 Borneff</t>
  </si>
  <si>
    <t>OVERIGE (ORGANISCHE) VERBINDINGEN</t>
  </si>
  <si>
    <t>Minerale olie C6 - C10</t>
  </si>
  <si>
    <t xml:space="preserve">&lt; 10	</t>
  </si>
  <si>
    <t>AROMATISCHE VERBINDINGEN</t>
  </si>
  <si>
    <t>Benzeen</t>
  </si>
  <si>
    <t xml:space="preserve">&lt; 0,2	</t>
  </si>
  <si>
    <t>Ethylbenzeen</t>
  </si>
  <si>
    <t xml:space="preserve">&lt; 0,5	</t>
  </si>
  <si>
    <t>Tolueen</t>
  </si>
  <si>
    <t>Xylenen (som)</t>
  </si>
  <si>
    <t>meta-/para-Xyleen (som)</t>
  </si>
  <si>
    <t>ortho-Xyleen</t>
  </si>
  <si>
    <t xml:space="preserve">&lt; 0,50	</t>
  </si>
  <si>
    <t>Oip10</t>
  </si>
  <si>
    <t>Oip2</t>
  </si>
  <si>
    <t>Oip5</t>
  </si>
  <si>
    <t>Oip9</t>
  </si>
  <si>
    <t>201-1</t>
  </si>
  <si>
    <t>201-2</t>
  </si>
  <si>
    <t>202-1</t>
  </si>
  <si>
    <t>202-2</t>
  </si>
  <si>
    <t>203-1</t>
  </si>
  <si>
    <t>203-2</t>
  </si>
  <si>
    <t>204-1</t>
  </si>
  <si>
    <t>204-2</t>
  </si>
  <si>
    <t>205-1</t>
  </si>
  <si>
    <t>205-2</t>
  </si>
  <si>
    <t>206-1</t>
  </si>
  <si>
    <t>206-2</t>
  </si>
  <si>
    <t>207-1</t>
  </si>
  <si>
    <t>207-2</t>
  </si>
  <si>
    <t>208-1</t>
  </si>
  <si>
    <t>208-2</t>
  </si>
  <si>
    <t xml:space="preserve">&lt; 0,050	</t>
  </si>
  <si>
    <t>Column1</t>
  </si>
  <si>
    <t>Column2</t>
  </si>
  <si>
    <t>Column12</t>
  </si>
  <si>
    <t>Column3</t>
  </si>
  <si>
    <t>Column4</t>
  </si>
  <si>
    <t>Column5</t>
  </si>
  <si>
    <t>Column6</t>
  </si>
  <si>
    <t>Column7</t>
  </si>
  <si>
    <t>Column8</t>
  </si>
  <si>
    <t>Minerale olie C10 - C12</t>
  </si>
  <si>
    <t>Minerale olie C12 - C20</t>
  </si>
  <si>
    <t>Minerale olie C20 - C30</t>
  </si>
  <si>
    <t>Minerale olie C30 - C40</t>
  </si>
  <si>
    <t>Column9</t>
  </si>
  <si>
    <t>Column10</t>
  </si>
  <si>
    <t>Column11</t>
  </si>
  <si>
    <t>Column13</t>
  </si>
  <si>
    <t>Column14</t>
  </si>
  <si>
    <t>Column15</t>
  </si>
  <si>
    <t>Column16</t>
  </si>
  <si>
    <t>Minerale olie</t>
  </si>
  <si>
    <t>&lt;0,01</t>
  </si>
  <si>
    <t>&lt;100</t>
  </si>
  <si>
    <t>&lt;10</t>
  </si>
  <si>
    <t>&lt;50</t>
  </si>
  <si>
    <t>&lt;500</t>
  </si>
  <si>
    <t>nvt</t>
  </si>
  <si>
    <t>/</t>
  </si>
  <si>
    <t>Legend e Vlarebo</t>
  </si>
  <si>
    <t>Column17</t>
  </si>
  <si>
    <t>&lt;0.010</t>
  </si>
  <si>
    <t>&lt;0.020</t>
  </si>
  <si>
    <t>Column112</t>
  </si>
  <si>
    <t>Column72</t>
  </si>
  <si>
    <t>Column32</t>
  </si>
  <si>
    <t>&gt;630</t>
  </si>
  <si>
    <t>201-3</t>
  </si>
  <si>
    <t>202-3</t>
  </si>
  <si>
    <t>203-3</t>
  </si>
  <si>
    <t>204-3</t>
  </si>
  <si>
    <t>205-3</t>
  </si>
  <si>
    <t>206-3</t>
  </si>
  <si>
    <t>207-3</t>
  </si>
  <si>
    <t>208-3</t>
  </si>
  <si>
    <t>&lt;0.20</t>
  </si>
  <si>
    <t>&lt;80</t>
  </si>
  <si>
    <t>&lt;0.050</t>
  </si>
  <si>
    <t/>
  </si>
  <si>
    <t>mg/kg ds</t>
  </si>
  <si>
    <t>44.00</t>
  </si>
  <si>
    <t>340.00</t>
  </si>
  <si>
    <t>660.00</t>
  </si>
  <si>
    <t>280.00</t>
  </si>
  <si>
    <t>9.90</t>
  </si>
  <si>
    <t>Minerale olie C8 - C10</t>
  </si>
  <si>
    <t>27.00</t>
  </si>
  <si>
    <t>120.00</t>
  </si>
  <si>
    <t>60.00</t>
  </si>
  <si>
    <t>160.00</t>
  </si>
  <si>
    <t>&lt; 2.10</t>
  </si>
  <si>
    <t>Minerale olie C6 - C8</t>
  </si>
  <si>
    <t>&lt; 2.00</t>
  </si>
  <si>
    <t>Minerale olie C5-C6</t>
  </si>
  <si>
    <t>&lt; 4.10</t>
  </si>
  <si>
    <t>Minerale olie C5 - C8</t>
  </si>
  <si>
    <t>71.00</t>
  </si>
  <si>
    <t>460.00</t>
  </si>
  <si>
    <t>720.00</t>
  </si>
  <si>
    <t>450.00</t>
  </si>
  <si>
    <t>11.00</t>
  </si>
  <si>
    <t>Minerale olie C5 - C10</t>
  </si>
  <si>
    <t>170.00</t>
  </si>
  <si>
    <t>56.00</t>
  </si>
  <si>
    <t>840.00</t>
  </si>
  <si>
    <t>320.00</t>
  </si>
  <si>
    <t>410.00</t>
  </si>
  <si>
    <t>820.00</t>
  </si>
  <si>
    <t>480.00</t>
  </si>
  <si>
    <t>6900.00</t>
  </si>
  <si>
    <t>2300.00</t>
  </si>
  <si>
    <t>1300.00</t>
  </si>
  <si>
    <t>2200.00</t>
  </si>
  <si>
    <t>3800.00</t>
  </si>
  <si>
    <t>11000.00</t>
  </si>
  <si>
    <t>7600.00</t>
  </si>
  <si>
    <t>1500.00</t>
  </si>
  <si>
    <t>1200.00</t>
  </si>
  <si>
    <t>3000.00</t>
  </si>
  <si>
    <t>2000.00</t>
  </si>
  <si>
    <t>2900.00</t>
  </si>
  <si>
    <t>57.00</t>
  </si>
  <si>
    <t>4500.00</t>
  </si>
  <si>
    <t>7500.00</t>
  </si>
  <si>
    <t>21000.00</t>
  </si>
  <si>
    <t>13000.00</t>
  </si>
  <si>
    <t>3300.00</t>
  </si>
  <si>
    <t>Minerale olie C10 - C40</t>
  </si>
  <si>
    <t>MINERALE OLIE</t>
  </si>
  <si>
    <t>1600.00</t>
  </si>
  <si>
    <t>**</t>
  </si>
  <si>
    <t>&gt; 2200.00</t>
  </si>
  <si>
    <t>PAK 10 OVAM</t>
  </si>
  <si>
    <t>1900.00</t>
  </si>
  <si>
    <t>2600.00</t>
  </si>
  <si>
    <t>&gt; 4000.00</t>
  </si>
  <si>
    <t>2400.00</t>
  </si>
  <si>
    <t>140.00</t>
  </si>
  <si>
    <t>370.00</t>
  </si>
  <si>
    <t>310.00</t>
  </si>
  <si>
    <t>14.00</t>
  </si>
  <si>
    <t>29.00</t>
  </si>
  <si>
    <t>21.00</t>
  </si>
  <si>
    <t>9.60</t>
  </si>
  <si>
    <t>190.00</t>
  </si>
  <si>
    <t>270.00</t>
  </si>
  <si>
    <t>130.00</t>
  </si>
  <si>
    <t>6.30</t>
  </si>
  <si>
    <t>5.40</t>
  </si>
  <si>
    <t>9.40</t>
  </si>
  <si>
    <t>7.10</t>
  </si>
  <si>
    <t>Dibenz(a,h)antraceen</t>
  </si>
  <si>
    <t>290.00</t>
  </si>
  <si>
    <t>520.00</t>
  </si>
  <si>
    <t>240.00</t>
  </si>
  <si>
    <t>220.00</t>
  </si>
  <si>
    <t>380.00</t>
  </si>
  <si>
    <t>360.00</t>
  </si>
  <si>
    <t>Antraceen</t>
  </si>
  <si>
    <t>36.00</t>
  </si>
  <si>
    <t>20.00</t>
  </si>
  <si>
    <t>Indeno(1,2,3-cd)pyreen</t>
  </si>
  <si>
    <t>25.00</t>
  </si>
  <si>
    <t>19.00</t>
  </si>
  <si>
    <t>33.00</t>
  </si>
  <si>
    <t>Benzo(ghi)peryleen</t>
  </si>
  <si>
    <t>16.00</t>
  </si>
  <si>
    <t>Benzo(k)fluoranteen</t>
  </si>
  <si>
    <t>39.00</t>
  </si>
  <si>
    <t>67.00</t>
  </si>
  <si>
    <t>54.00</t>
  </si>
  <si>
    <t>Benzo(b)fluoranteen</t>
  </si>
  <si>
    <t>59.00</t>
  </si>
  <si>
    <t>50.00</t>
  </si>
  <si>
    <t>150.00</t>
  </si>
  <si>
    <t>64.00</t>
  </si>
  <si>
    <t>Benzo(a)antraceen</t>
  </si>
  <si>
    <t>200.00</t>
  </si>
  <si>
    <t>230.00</t>
  </si>
  <si>
    <t>&gt; 550.00</t>
  </si>
  <si>
    <t>Fluoranteen</t>
  </si>
  <si>
    <t>350.00</t>
  </si>
  <si>
    <t>550.00</t>
  </si>
  <si>
    <t>330.00</t>
  </si>
  <si>
    <t>Fenantreen</t>
  </si>
  <si>
    <t>43.00</t>
  </si>
  <si>
    <t>390.00</t>
  </si>
  <si>
    <t>570.00</t>
  </si>
  <si>
    <t>12.00</t>
  </si>
  <si>
    <t>POLYCYCLISCHE AROMATISCHE KOOLWATERSTOFFEN</t>
  </si>
  <si>
    <t>51.00</t>
  </si>
  <si>
    <t>0.42</t>
  </si>
  <si>
    <t>BTEX (som)</t>
  </si>
  <si>
    <t>Styreen</t>
  </si>
  <si>
    <t>100.00</t>
  </si>
  <si>
    <t>93.00</t>
  </si>
  <si>
    <t>99.00</t>
  </si>
  <si>
    <t>&lt; 0.10</t>
  </si>
  <si>
    <t>Xyleen</t>
  </si>
  <si>
    <t>5.00</t>
  </si>
  <si>
    <t>45.00</t>
  </si>
  <si>
    <t>97.00</t>
  </si>
  <si>
    <t>0.055</t>
  </si>
  <si>
    <t>13.00</t>
  </si>
  <si>
    <t>69.00</t>
  </si>
  <si>
    <t>1.50</t>
  </si>
  <si>
    <t>38.00</t>
  </si>
  <si>
    <t>0.087</t>
  </si>
  <si>
    <t>55.00</t>
  </si>
  <si>
    <t>46.00</t>
  </si>
  <si>
    <t>0.20</t>
  </si>
  <si>
    <t>MONOCYCLISCHE AROMATISCHE KOOLWATERSTOFFEN</t>
  </si>
  <si>
    <t>79.50</t>
  </si>
  <si>
    <t>82.60</t>
  </si>
  <si>
    <t>74.40</t>
  </si>
  <si>
    <t>79.20</t>
  </si>
  <si>
    <t>65.00</t>
  </si>
  <si>
    <t>0.3m - 0.5m</t>
  </si>
  <si>
    <t>Analytico Milieu nv</t>
  </si>
  <si>
    <t>Laboratorium</t>
  </si>
  <si>
    <t>Datum veldwerk</t>
  </si>
  <si>
    <t>Datum analyse</t>
  </si>
  <si>
    <t xml:space="preserve">WB5-1  (0.3 - 0.5 m)  </t>
  </si>
  <si>
    <t xml:space="preserve">WB4-1  (0.35 - 0.55 m)  </t>
  </si>
  <si>
    <t xml:space="preserve">WB3-1  (0.3 - 0.5 m) </t>
  </si>
  <si>
    <t xml:space="preserve">WB2-1  (0.25 - 0.45 m)  </t>
  </si>
  <si>
    <t xml:space="preserve">WB1-1  (0.4 - 0.6 m) </t>
  </si>
  <si>
    <t>Naam analyse</t>
  </si>
  <si>
    <t>WB5</t>
  </si>
  <si>
    <t>WB4</t>
  </si>
  <si>
    <t>WB3</t>
  </si>
  <si>
    <t>WB2</t>
  </si>
  <si>
    <t>WB1</t>
  </si>
  <si>
    <t>Naam meetlocatie</t>
  </si>
  <si>
    <t>index resultaten</t>
  </si>
  <si>
    <t>SW</t>
  </si>
  <si>
    <t>index algemene gegevens</t>
  </si>
  <si>
    <t>V</t>
  </si>
  <si>
    <t>Bestemmingstype</t>
  </si>
  <si>
    <t xml:space="preserve">Toetsingswaarden volgens type V </t>
  </si>
  <si>
    <t>waterloop De Lieve</t>
  </si>
  <si>
    <t>Kadastraal perceel</t>
  </si>
  <si>
    <t>0.4 - 0.6</t>
  </si>
  <si>
    <t>0.25 - 0.45</t>
  </si>
  <si>
    <t>0.3 - 0.5</t>
  </si>
  <si>
    <t>0.35 - 0.55</t>
  </si>
  <si>
    <t xml:space="preserve">WB7 </t>
  </si>
  <si>
    <t xml:space="preserve">WB8 </t>
  </si>
  <si>
    <t xml:space="preserve">WB7-1  (0.3 - 0.5 m)  </t>
  </si>
  <si>
    <t xml:space="preserve">WB8-1  (0.3 - 0.5 m)  </t>
  </si>
  <si>
    <t>82.50</t>
  </si>
  <si>
    <t>85.10</t>
  </si>
  <si>
    <t>&lt; 0.05</t>
  </si>
  <si>
    <t>0.11</t>
  </si>
  <si>
    <t>&lt; 0.25</t>
  </si>
  <si>
    <t>1.60</t>
  </si>
  <si>
    <t>0.51</t>
  </si>
  <si>
    <t>22.00</t>
  </si>
  <si>
    <t>110.00</t>
  </si>
  <si>
    <t>6.90</t>
  </si>
  <si>
    <t>53.00</t>
  </si>
  <si>
    <t>18.00</t>
  </si>
  <si>
    <t>68.00</t>
  </si>
  <si>
    <t>580.00</t>
  </si>
  <si>
    <t>28.00</t>
  </si>
  <si>
    <t>10.00</t>
  </si>
  <si>
    <t>30.00</t>
  </si>
  <si>
    <t>6.10</t>
  </si>
  <si>
    <t>3.00</t>
  </si>
  <si>
    <t>47.00</t>
  </si>
  <si>
    <t>4.30</t>
  </si>
  <si>
    <t>15.00</t>
  </si>
  <si>
    <t>6.60</t>
  </si>
  <si>
    <t>4.40</t>
  </si>
  <si>
    <t>1.10</t>
  </si>
  <si>
    <t>7.00</t>
  </si>
  <si>
    <t>6.40</t>
  </si>
  <si>
    <t>2.50</t>
  </si>
  <si>
    <t>8.20</t>
  </si>
  <si>
    <t>1.20</t>
  </si>
  <si>
    <t>48.00</t>
  </si>
  <si>
    <t>17.00</t>
  </si>
  <si>
    <t>91.00</t>
  </si>
  <si>
    <t>810.00</t>
  </si>
  <si>
    <t>960.00</t>
  </si>
  <si>
    <t>&lt; 25.00</t>
  </si>
  <si>
    <t>400.00</t>
  </si>
  <si>
    <t>560.00</t>
  </si>
  <si>
    <t>41.00</t>
  </si>
  <si>
    <t>&lt; 6.70</t>
  </si>
  <si>
    <t>&lt; 2.60</t>
  </si>
  <si>
    <t>WB6</t>
  </si>
  <si>
    <t>WB6-1 (0.3-0.5 m)</t>
  </si>
  <si>
    <t>MINERALE OLIE VLUCHTIG</t>
  </si>
  <si>
    <t>&gt;380</t>
  </si>
  <si>
    <t>&lt;0.4</t>
  </si>
  <si>
    <t>201-4</t>
  </si>
  <si>
    <t>&lt;0.40</t>
  </si>
  <si>
    <t>&lt;0.01</t>
  </si>
  <si>
    <t>&lt;0.05</t>
  </si>
  <si>
    <t>203-4</t>
  </si>
  <si>
    <t>205-4</t>
  </si>
  <si>
    <t>206-4</t>
  </si>
  <si>
    <t>207-4</t>
  </si>
  <si>
    <t>208-4</t>
  </si>
  <si>
    <t>Column42</t>
  </si>
  <si>
    <t>Column82</t>
  </si>
  <si>
    <t>Column122</t>
  </si>
  <si>
    <t>Column18</t>
  </si>
  <si>
    <t>&lt;0.10</t>
  </si>
  <si>
    <t>Fenolindex</t>
  </si>
  <si>
    <t>&lt;1</t>
  </si>
  <si>
    <t>200***</t>
  </si>
  <si>
    <t>Max mat 2021</t>
  </si>
  <si>
    <t>Buiten mat, stroomop</t>
  </si>
  <si>
    <t>Segment 2, biochar mat</t>
  </si>
  <si>
    <t>Segment 3, veen mat</t>
  </si>
  <si>
    <t>206</t>
  </si>
  <si>
    <t>207</t>
  </si>
  <si>
    <t>Xylenen</t>
  </si>
  <si>
    <t>Gemid.</t>
  </si>
  <si>
    <t>Biochar</t>
  </si>
  <si>
    <t>Veen</t>
  </si>
  <si>
    <t>Zonder mat</t>
  </si>
  <si>
    <t>Met mat</t>
  </si>
  <si>
    <t>Totaal</t>
  </si>
  <si>
    <t>Mat begint op circa 50 meter afstand van punt 201</t>
  </si>
  <si>
    <t>Column43</t>
  </si>
  <si>
    <t>Column83</t>
  </si>
  <si>
    <t>Column123</t>
  </si>
  <si>
    <t>Column19</t>
  </si>
  <si>
    <t>201-5</t>
  </si>
  <si>
    <t>203-5</t>
  </si>
  <si>
    <t>205-5</t>
  </si>
  <si>
    <t>206-5</t>
  </si>
  <si>
    <t>207-5</t>
  </si>
  <si>
    <t>208-5</t>
  </si>
  <si>
    <r>
      <t>O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 xml:space="preserve"> (mg/l)</t>
    </r>
  </si>
  <si>
    <t>Temperatuur (°C)</t>
  </si>
  <si>
    <t>Droog en bewolkt</t>
  </si>
  <si>
    <t>-</t>
  </si>
  <si>
    <t>Weerarchief Gent - meteoblue</t>
  </si>
  <si>
    <t>Bewolkt*</t>
  </si>
  <si>
    <t>Onbewolkt*</t>
  </si>
  <si>
    <t>Bewolkt en lichte regen*</t>
  </si>
  <si>
    <t>OIP 5 (m TAW)</t>
  </si>
  <si>
    <t>5/11-1-2021</t>
  </si>
  <si>
    <t>Halfbewolkt en een bui*</t>
  </si>
  <si>
    <t>Water Lieve</t>
  </si>
  <si>
    <t>201-6</t>
  </si>
  <si>
    <t>203-6</t>
  </si>
  <si>
    <t>205-6</t>
  </si>
  <si>
    <t>206-6</t>
  </si>
  <si>
    <t>207-6</t>
  </si>
  <si>
    <t>208-6</t>
  </si>
  <si>
    <t>&lt;0.055</t>
  </si>
  <si>
    <t>Column44</t>
  </si>
  <si>
    <t>Column20</t>
  </si>
  <si>
    <t>Column124</t>
  </si>
  <si>
    <t>Column21</t>
  </si>
  <si>
    <t>&lt;0.02</t>
  </si>
  <si>
    <t>&gt;490</t>
  </si>
  <si>
    <t>&gt;370</t>
  </si>
  <si>
    <t>Droog en onbewolkt (zonnig)</t>
  </si>
  <si>
    <t>EC (µS/cm)</t>
  </si>
  <si>
    <t>O2 (mg/l)</t>
  </si>
  <si>
    <t>Redox (mV)</t>
  </si>
  <si>
    <t>meetfout</t>
  </si>
  <si>
    <t>12*</t>
  </si>
  <si>
    <t>8*</t>
  </si>
  <si>
    <t>18*</t>
  </si>
  <si>
    <t>4*</t>
  </si>
  <si>
    <t>14*</t>
  </si>
  <si>
    <t>20*</t>
  </si>
  <si>
    <t>11,5 *</t>
  </si>
  <si>
    <t>0 *</t>
  </si>
  <si>
    <t>12 *</t>
  </si>
  <si>
    <t>2 *</t>
  </si>
  <si>
    <t>7  *</t>
  </si>
  <si>
    <t>201-7</t>
  </si>
  <si>
    <t>203-7</t>
  </si>
  <si>
    <t>205-7</t>
  </si>
  <si>
    <t>206-7</t>
  </si>
  <si>
    <t>207-7</t>
  </si>
  <si>
    <t>208-7</t>
  </si>
  <si>
    <t>&lt;0.011</t>
  </si>
  <si>
    <t>&lt;0.012</t>
  </si>
  <si>
    <t>&lt;0.013</t>
  </si>
  <si>
    <t>&lt;0.014</t>
  </si>
  <si>
    <t>&lt;0.015</t>
  </si>
  <si>
    <t>&lt;0.016</t>
  </si>
  <si>
    <t>&lt;0.2</t>
  </si>
  <si>
    <t>Column192</t>
  </si>
  <si>
    <t>Column125</t>
  </si>
  <si>
    <t>Column202</t>
  </si>
  <si>
    <t>Column45</t>
  </si>
  <si>
    <t>17*</t>
  </si>
  <si>
    <t>Bewolkt en deels regen</t>
  </si>
  <si>
    <t>1,5 *</t>
  </si>
  <si>
    <t>%afname tov gemid.</t>
  </si>
  <si>
    <t>Geleidbaarheid (µS/cm)</t>
  </si>
  <si>
    <t>&lt;0,4</t>
  </si>
  <si>
    <t>&lt;0,2</t>
  </si>
  <si>
    <t>Datum</t>
  </si>
  <si>
    <t>*  gebaseerd op</t>
  </si>
  <si>
    <t>week (mm)*</t>
  </si>
  <si>
    <t>201-8</t>
  </si>
  <si>
    <t>203-8</t>
  </si>
  <si>
    <t>205-8</t>
  </si>
  <si>
    <t>&lt;0.25</t>
  </si>
  <si>
    <t>206-8</t>
  </si>
  <si>
    <t>207-8</t>
  </si>
  <si>
    <t>Column442</t>
  </si>
  <si>
    <t>Column203</t>
  </si>
  <si>
    <t>Column22</t>
  </si>
  <si>
    <t>Column1242</t>
  </si>
  <si>
    <t>208-8</t>
  </si>
  <si>
    <t>Zonnig, droog en windstil</t>
  </si>
  <si>
    <t>3,5 *</t>
  </si>
  <si>
    <t>m TAW</t>
  </si>
  <si>
    <t>Column443</t>
  </si>
  <si>
    <t>&lt;0,05</t>
  </si>
  <si>
    <t>Column204</t>
  </si>
  <si>
    <t>Column1243</t>
  </si>
  <si>
    <t>Column23</t>
  </si>
  <si>
    <t>201-9</t>
  </si>
  <si>
    <t>203-9</t>
  </si>
  <si>
    <t>205-9</t>
  </si>
  <si>
    <t>206-9</t>
  </si>
  <si>
    <t>207-9</t>
  </si>
  <si>
    <t>208-9</t>
  </si>
  <si>
    <t>Goed</t>
  </si>
  <si>
    <t>Matig</t>
  </si>
  <si>
    <t>201-10</t>
  </si>
  <si>
    <t>203-10</t>
  </si>
  <si>
    <t>205-10</t>
  </si>
  <si>
    <t>206-10</t>
  </si>
  <si>
    <t>207-10</t>
  </si>
  <si>
    <t>208-10</t>
  </si>
  <si>
    <t>Column444</t>
  </si>
  <si>
    <t>Column205</t>
  </si>
  <si>
    <t>Column1244</t>
  </si>
  <si>
    <t>Column24</t>
  </si>
  <si>
    <t>5,0</t>
  </si>
  <si>
    <t>Zonnig en droog</t>
  </si>
  <si>
    <t>17-5</t>
  </si>
  <si>
    <t>12-7</t>
  </si>
  <si>
    <t>C5-C10</t>
  </si>
  <si>
    <t>Redoxpotentiaal</t>
  </si>
  <si>
    <t>Column46</t>
  </si>
  <si>
    <t>&lt;1.0</t>
  </si>
  <si>
    <t>Column2022</t>
  </si>
  <si>
    <t>Column126</t>
  </si>
  <si>
    <t>Column193</t>
  </si>
  <si>
    <t>&lt;0.1</t>
  </si>
  <si>
    <t>&lt;0.5</t>
  </si>
  <si>
    <t>&lt;0.29</t>
  </si>
  <si>
    <t>201-11</t>
  </si>
  <si>
    <t>203-11</t>
  </si>
  <si>
    <t>205-11</t>
  </si>
  <si>
    <t>206-11</t>
  </si>
  <si>
    <t>207-11</t>
  </si>
  <si>
    <t>208-11</t>
  </si>
  <si>
    <t>6*</t>
  </si>
  <si>
    <t>22*</t>
  </si>
  <si>
    <t>25*</t>
  </si>
  <si>
    <t>16*</t>
  </si>
  <si>
    <t>5,5 *</t>
  </si>
  <si>
    <t>Halfbewolkt en droog</t>
  </si>
  <si>
    <t>Depth of bore (m -mv)</t>
  </si>
  <si>
    <t>Filter depth (m -mv)</t>
  </si>
  <si>
    <t>Date of sampling</t>
  </si>
  <si>
    <t>Groundwater depth (m-mv)</t>
  </si>
  <si>
    <t>Groundwater depth (m-top pb)</t>
  </si>
  <si>
    <t>Depth of groundwater (m TAW)</t>
  </si>
  <si>
    <t>Amount pre-pumped</t>
  </si>
  <si>
    <t>Sensory perception</t>
  </si>
  <si>
    <t>Colour</t>
  </si>
  <si>
    <t>Brightness</t>
  </si>
  <si>
    <t>Temperature</t>
  </si>
  <si>
    <t>Conductivity</t>
  </si>
  <si>
    <t>Presence of pure product</t>
  </si>
  <si>
    <t>PAH</t>
  </si>
  <si>
    <t>OTHER (ORGANIC) COMPOUNDS</t>
  </si>
  <si>
    <t>AROMATIC COMPOUNDS</t>
  </si>
  <si>
    <t>**: PAH analysis could not be performed because under maximum dilution the standards were still too disturbed for reporting (see laboratory analysis certificate)</t>
  </si>
  <si>
    <t>x above target value</t>
  </si>
  <si>
    <t>x above remediation standard</t>
  </si>
  <si>
    <t>A blank field means that no analysis has been performed</t>
  </si>
  <si>
    <t>Units</t>
  </si>
  <si>
    <t>zero situation</t>
  </si>
  <si>
    <t>Sensory observable contamination + depth in m-mv</t>
  </si>
  <si>
    <t>Tar smell</t>
  </si>
  <si>
    <t>Depth sample for analysis in m-mv</t>
  </si>
  <si>
    <t>Dry matter (%)</t>
  </si>
  <si>
    <t>Clay content used (%)</t>
  </si>
  <si>
    <t>Organic material content used (%)</t>
  </si>
  <si>
    <t>pH content used</t>
  </si>
  <si>
    <t>Legend</t>
  </si>
  <si>
    <t>Italics = exceeds the target value</t>
  </si>
  <si>
    <t>Underlined = exceeds the target value</t>
  </si>
  <si>
    <t>Bold font = exceeds the soil remediation standard</t>
  </si>
  <si>
    <t>Legal framework</t>
  </si>
  <si>
    <t>Decree of the Flemish Government establishing the Flemish regulations regarding soil remediation and soil protection (Vlarebo 5) (01/04/2019)</t>
  </si>
  <si>
    <t>Environmental quality standard maximum (MAC-MKN)*</t>
  </si>
  <si>
    <t>Environmental quality standard average (JG-MKN)*</t>
  </si>
  <si>
    <t>IN SITU MEASUREMENTS</t>
  </si>
  <si>
    <r>
      <t>*</t>
    </r>
    <r>
      <rPr>
        <b/>
        <sz val="11"/>
        <color theme="1"/>
        <rFont val="Calibri"/>
        <family val="2"/>
      </rPr>
      <t>Environmental quality standard maximum (MAC-MKN)</t>
    </r>
    <r>
      <rPr>
        <sz val="11"/>
        <color theme="1"/>
        <rFont val="Calibri"/>
        <family val="2"/>
      </rPr>
      <t xml:space="preserve"> in these columns the environmental quality standard is expressed as the maximum acceptable concentration. If “not applicable” is indicated for the MAC-EQS, the JG-EQS values are assumed to provide protection against short-term pollution peaks in continuous discharges, as they are considerably lower than the values derived on the basis of acute toxicity.</t>
    </r>
  </si>
  <si>
    <r>
      <t>*</t>
    </r>
    <r>
      <rPr>
        <b/>
        <sz val="11"/>
        <color theme="1"/>
        <rFont val="Calibri"/>
        <family val="2"/>
      </rPr>
      <t>Environmental quality standard average (JG-MKN)</t>
    </r>
    <r>
      <rPr>
        <sz val="11"/>
        <color theme="1"/>
        <rFont val="Calibri"/>
        <family val="2"/>
      </rPr>
      <t>: in these columns the environmental quality standard is expressed as an annual average.</t>
    </r>
  </si>
  <si>
    <t>Outside mat, downstream</t>
  </si>
  <si>
    <t>Vlarem II - General environmental quality standards for lakes and rivers (Appendix 2.3.1 art. 3)</t>
  </si>
  <si>
    <t>Factor exceeded in 2022</t>
  </si>
  <si>
    <t>Factor exceeded in 2020</t>
  </si>
  <si>
    <t>% decrease compared to average.</t>
  </si>
  <si>
    <t>Without mat</t>
  </si>
  <si>
    <t>Average</t>
  </si>
  <si>
    <t>With mat</t>
  </si>
  <si>
    <t>Peat</t>
  </si>
  <si>
    <t>Flow direction</t>
  </si>
  <si>
    <t>Towards harbour; light current</t>
  </si>
  <si>
    <t>No current</t>
  </si>
  <si>
    <t>Towards harbour; light current approx. 100 m/h</t>
  </si>
  <si>
    <t>Towards harbour; approx. 100 m/h</t>
  </si>
  <si>
    <t>Towards harbour; approx. 23 m/h</t>
  </si>
  <si>
    <t>Towards harbour; approx. 43 m/h</t>
  </si>
  <si>
    <t>Weather during sampling</t>
  </si>
  <si>
    <t>Oil films between MP 206 and 207</t>
  </si>
  <si>
    <t>No oil film observed</t>
  </si>
  <si>
    <t>Small oil stains at 205 and 208</t>
  </si>
  <si>
    <t>bulging mats, oil stains at 203/205</t>
  </si>
  <si>
    <t>Other</t>
  </si>
  <si>
    <t>Water level Lieve w.r.t</t>
  </si>
  <si>
    <t>Groundwater level</t>
  </si>
  <si>
    <t>base overflow (m below base)</t>
  </si>
  <si>
    <t>Suspension (m)</t>
  </si>
  <si>
    <t>Groundwater - Lieve</t>
  </si>
  <si>
    <t>Sky</t>
  </si>
  <si>
    <t>Precipitation prior</t>
  </si>
  <si>
    <t>Temperature (°C)*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</si>
</sst>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0.0"/>
    <numFmt numFmtId="165" formatCode="0.000"/>
    <numFmt numFmtId="166" formatCode="\&lt;#########0.00"/>
    <numFmt numFmtId="167" formatCode="\&lt;#########0.0"/>
    <numFmt numFmtId="168" formatCode="\&lt;#########0"/>
    <numFmt numFmtId="169" formatCode="\&lt;#########0.000"/>
  </numFmts>
  <fonts count="31" x14ac:knownFonts="1">
    <font>
      <sz val="11"/>
      <color theme="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11"/>
      <color theme="1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</font>
    <font>
      <u/>
      <sz val="11"/>
      <color theme="1"/>
      <name val="Calibri"/>
      <family val="2"/>
    </font>
    <font>
      <sz val="8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vertAlign val="subscript"/>
      <sz val="11"/>
      <color theme="1"/>
      <name val="Calibri"/>
      <family val="2"/>
    </font>
    <font>
      <u/>
      <sz val="11"/>
      <color theme="10"/>
      <name val="Calibri"/>
      <family val="2"/>
    </font>
    <font>
      <b/>
      <sz val="11"/>
      <color theme="0" tint="-0.499984740745262"/>
      <name val="Calibri"/>
      <family val="2"/>
    </font>
    <font>
      <sz val="11"/>
      <color theme="0" tint="-0.499984740745262"/>
      <name val="Calibri"/>
      <family val="2"/>
    </font>
    <font>
      <sz val="11"/>
      <name val="Calibri"/>
      <family val="2"/>
    </font>
    <font>
      <b/>
      <sz val="14"/>
      <name val="Calibri"/>
      <family val="2"/>
    </font>
    <font>
      <sz val="11"/>
      <color theme="0" tint="-0.34998626667073579"/>
      <name val="Calibri"/>
      <family val="2"/>
    </font>
    <font>
      <b/>
      <sz val="11"/>
      <color indexed="8"/>
      <name val="Calibri"/>
      <family val="2"/>
    </font>
    <font>
      <b/>
      <sz val="11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</borders>
  <cellStyleXfs count="8">
    <xf numFmtId="0" fontId="0" fillId="0" borderId="0"/>
    <xf numFmtId="0" fontId="5" fillId="0" borderId="0"/>
    <xf numFmtId="9" fontId="5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34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1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8" fillId="0" borderId="3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0" fillId="0" borderId="3" xfId="0" applyFont="1" applyBorder="1" applyAlignment="1">
      <alignment horizontal="left"/>
    </xf>
    <xf numFmtId="0" fontId="11" fillId="0" borderId="1" xfId="0" applyFont="1" applyBorder="1" applyAlignment="1">
      <alignment horizontal="left"/>
    </xf>
    <xf numFmtId="49" fontId="11" fillId="0" borderId="0" xfId="0" applyNumberFormat="1" applyFont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11" fillId="0" borderId="17" xfId="0" applyFont="1" applyBorder="1" applyAlignment="1">
      <alignment horizontal="center" wrapText="1"/>
    </xf>
    <xf numFmtId="0" fontId="11" fillId="0" borderId="0" xfId="0" applyFont="1" applyAlignment="1">
      <alignment horizontal="center" wrapText="1"/>
    </xf>
    <xf numFmtId="0" fontId="11" fillId="0" borderId="17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21" xfId="0" applyBorder="1" applyAlignment="1">
      <alignment horizontal="center"/>
    </xf>
    <xf numFmtId="14" fontId="11" fillId="0" borderId="17" xfId="0" applyNumberFormat="1" applyFont="1" applyBorder="1" applyAlignment="1">
      <alignment horizontal="center"/>
    </xf>
    <xf numFmtId="14" fontId="1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21" xfId="0" applyNumberForma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4" xfId="0" applyBorder="1" applyAlignment="1">
      <alignment horizontal="center"/>
    </xf>
    <xf numFmtId="0" fontId="8" fillId="0" borderId="0" xfId="0" applyFont="1" applyAlignment="1">
      <alignment horizontal="center"/>
    </xf>
    <xf numFmtId="0" fontId="11" fillId="0" borderId="2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11" fillId="0" borderId="19" xfId="0" applyFont="1" applyBorder="1" applyAlignment="1">
      <alignment horizontal="center"/>
    </xf>
    <xf numFmtId="0" fontId="11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0" xfId="1"/>
    <xf numFmtId="0" fontId="5" fillId="0" borderId="0" xfId="1" applyAlignment="1">
      <alignment horizontal="center"/>
    </xf>
    <xf numFmtId="0" fontId="5" fillId="0" borderId="0" xfId="1" applyAlignment="1">
      <alignment horizontal="left"/>
    </xf>
    <xf numFmtId="0" fontId="5" fillId="0" borderId="0" xfId="1" applyAlignment="1">
      <alignment horizontal="right"/>
    </xf>
    <xf numFmtId="0" fontId="16" fillId="0" borderId="0" xfId="1" applyFont="1"/>
    <xf numFmtId="0" fontId="17" fillId="0" borderId="7" xfId="1" applyFont="1" applyBorder="1"/>
    <xf numFmtId="0" fontId="5" fillId="0" borderId="11" xfId="1" applyBorder="1" applyAlignment="1">
      <alignment horizontal="right" vertical="center"/>
    </xf>
    <xf numFmtId="0" fontId="5" fillId="0" borderId="10" xfId="1" applyBorder="1" applyAlignment="1">
      <alignment horizontal="right" vertical="center"/>
    </xf>
    <xf numFmtId="0" fontId="5" fillId="0" borderId="9" xfId="1" applyBorder="1" applyAlignment="1">
      <alignment horizontal="right"/>
    </xf>
    <xf numFmtId="0" fontId="5" fillId="0" borderId="28" xfId="1" applyBorder="1" applyAlignment="1">
      <alignment horizontal="left" vertical="center" wrapText="1"/>
    </xf>
    <xf numFmtId="0" fontId="5" fillId="0" borderId="28" xfId="1" applyBorder="1"/>
    <xf numFmtId="0" fontId="5" fillId="0" borderId="12" xfId="1" applyBorder="1" applyAlignment="1">
      <alignment horizontal="right" vertical="center"/>
    </xf>
    <xf numFmtId="0" fontId="5" fillId="0" borderId="7" xfId="1" applyBorder="1" applyAlignment="1">
      <alignment horizontal="right" vertical="center"/>
    </xf>
    <xf numFmtId="0" fontId="5" fillId="0" borderId="24" xfId="1" applyBorder="1" applyAlignment="1">
      <alignment horizontal="right"/>
    </xf>
    <xf numFmtId="0" fontId="5" fillId="0" borderId="27" xfId="1" applyBorder="1" applyAlignment="1">
      <alignment horizontal="left" vertical="center" wrapText="1"/>
    </xf>
    <xf numFmtId="2" fontId="5" fillId="0" borderId="16" xfId="1" applyNumberFormat="1" applyBorder="1" applyAlignment="1">
      <alignment horizontal="center"/>
    </xf>
    <xf numFmtId="2" fontId="5" fillId="0" borderId="27" xfId="1" applyNumberFormat="1" applyBorder="1" applyAlignment="1">
      <alignment horizontal="center"/>
    </xf>
    <xf numFmtId="2" fontId="5" fillId="0" borderId="0" xfId="1" applyNumberFormat="1" applyAlignment="1">
      <alignment horizontal="right"/>
    </xf>
    <xf numFmtId="0" fontId="5" fillId="0" borderId="27" xfId="1" applyBorder="1"/>
    <xf numFmtId="2" fontId="5" fillId="0" borderId="13" xfId="1" applyNumberFormat="1" applyBorder="1" applyAlignment="1">
      <alignment horizontal="center"/>
    </xf>
    <xf numFmtId="2" fontId="5" fillId="0" borderId="26" xfId="1" applyNumberFormat="1" applyBorder="1" applyAlignment="1">
      <alignment horizontal="center"/>
    </xf>
    <xf numFmtId="0" fontId="5" fillId="0" borderId="26" xfId="1" applyBorder="1"/>
    <xf numFmtId="0" fontId="5" fillId="0" borderId="0" xfId="1" applyAlignment="1">
      <alignment horizontal="left" vertical="top"/>
    </xf>
    <xf numFmtId="0" fontId="5" fillId="0" borderId="21" xfId="1" applyBorder="1" applyAlignment="1">
      <alignment horizontal="right"/>
    </xf>
    <xf numFmtId="0" fontId="5" fillId="0" borderId="21" xfId="1" applyBorder="1"/>
    <xf numFmtId="2" fontId="5" fillId="0" borderId="21" xfId="1" applyNumberFormat="1" applyBorder="1" applyAlignment="1">
      <alignment horizontal="center"/>
    </xf>
    <xf numFmtId="0" fontId="5" fillId="0" borderId="28" xfId="1" applyBorder="1" applyAlignment="1">
      <alignment horizontal="left" vertical="top" wrapText="1"/>
    </xf>
    <xf numFmtId="0" fontId="5" fillId="0" borderId="26" xfId="1" applyBorder="1" applyAlignment="1">
      <alignment horizontal="left" vertical="top" wrapText="1"/>
    </xf>
    <xf numFmtId="0" fontId="5" fillId="0" borderId="25" xfId="1" applyBorder="1" applyAlignment="1">
      <alignment horizontal="left" vertical="top" wrapText="1"/>
    </xf>
    <xf numFmtId="0" fontId="18" fillId="0" borderId="28" xfId="1" applyFont="1" applyBorder="1" applyAlignment="1">
      <alignment horizontal="left" vertical="top" wrapText="1"/>
    </xf>
    <xf numFmtId="0" fontId="5" fillId="0" borderId="25" xfId="1" applyBorder="1" applyAlignment="1">
      <alignment horizontal="left" vertical="top"/>
    </xf>
    <xf numFmtId="0" fontId="0" fillId="0" borderId="7" xfId="0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15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0" fillId="0" borderId="11" xfId="0" applyBorder="1" applyAlignment="1">
      <alignment horizontal="center" vertical="top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0" fontId="16" fillId="0" borderId="0" xfId="0" applyFont="1" applyAlignment="1">
      <alignment horizontal="center"/>
    </xf>
    <xf numFmtId="0" fontId="0" fillId="0" borderId="7" xfId="0" applyBorder="1" applyAlignment="1">
      <alignment horizontal="right" vertical="center"/>
    </xf>
    <xf numFmtId="0" fontId="0" fillId="0" borderId="0" xfId="0" applyAlignment="1">
      <alignment horizontal="left" vertical="top" wrapText="1"/>
    </xf>
    <xf numFmtId="0" fontId="15" fillId="0" borderId="7" xfId="1" applyFont="1" applyBorder="1" applyAlignment="1">
      <alignment horizontal="left" vertical="top"/>
    </xf>
    <xf numFmtId="0" fontId="15" fillId="0" borderId="7" xfId="1" applyFont="1" applyBorder="1" applyAlignment="1">
      <alignment horizontal="right" vertical="top"/>
    </xf>
    <xf numFmtId="0" fontId="15" fillId="0" borderId="7" xfId="0" applyFont="1" applyBorder="1" applyAlignment="1">
      <alignment horizontal="left" vertical="top"/>
    </xf>
    <xf numFmtId="0" fontId="15" fillId="0" borderId="7" xfId="0" applyFont="1" applyBorder="1" applyAlignment="1">
      <alignment horizontal="right" vertical="top"/>
    </xf>
    <xf numFmtId="0" fontId="5" fillId="0" borderId="9" xfId="1" applyBorder="1" applyAlignment="1">
      <alignment horizontal="right" vertical="center"/>
    </xf>
    <xf numFmtId="0" fontId="0" fillId="0" borderId="10" xfId="0" applyBorder="1" applyAlignment="1">
      <alignment horizontal="right"/>
    </xf>
    <xf numFmtId="0" fontId="0" fillId="0" borderId="10" xfId="0" applyBorder="1" applyAlignment="1">
      <alignment horizontal="left"/>
    </xf>
    <xf numFmtId="2" fontId="0" fillId="0" borderId="10" xfId="0" applyNumberFormat="1" applyBorder="1" applyAlignment="1">
      <alignment horizontal="righ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24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11" fillId="0" borderId="7" xfId="0" applyFont="1" applyBorder="1" applyAlignment="1">
      <alignment horizontal="center" wrapText="1"/>
    </xf>
    <xf numFmtId="0" fontId="0" fillId="0" borderId="17" xfId="0" applyBorder="1" applyAlignment="1">
      <alignment horizontal="center"/>
    </xf>
    <xf numFmtId="14" fontId="0" fillId="0" borderId="13" xfId="0" applyNumberFormat="1" applyBorder="1" applyAlignment="1">
      <alignment horizontal="center"/>
    </xf>
    <xf numFmtId="14" fontId="11" fillId="0" borderId="13" xfId="0" applyNumberFormat="1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2" borderId="13" xfId="0" applyFont="1" applyFill="1" applyBorder="1" applyAlignment="1">
      <alignment horizontal="center"/>
    </xf>
    <xf numFmtId="0" fontId="11" fillId="2" borderId="21" xfId="0" applyFont="1" applyFill="1" applyBorder="1" applyAlignment="1">
      <alignment horizontal="center"/>
    </xf>
    <xf numFmtId="0" fontId="11" fillId="4" borderId="0" xfId="0" applyFont="1" applyFill="1" applyAlignment="1">
      <alignment horizontal="center" wrapText="1"/>
    </xf>
    <xf numFmtId="0" fontId="11" fillId="3" borderId="21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 applyAlignment="1">
      <alignment horizontal="left" wrapText="1"/>
    </xf>
    <xf numFmtId="164" fontId="0" fillId="0" borderId="0" xfId="0" applyNumberFormat="1" applyAlignment="1">
      <alignment horizontal="left"/>
    </xf>
    <xf numFmtId="0" fontId="0" fillId="3" borderId="1" xfId="0" applyFill="1" applyBorder="1" applyAlignment="1">
      <alignment horizontal="left"/>
    </xf>
    <xf numFmtId="1" fontId="0" fillId="0" borderId="0" xfId="0" applyNumberFormat="1" applyAlignment="1">
      <alignment horizontal="left"/>
    </xf>
    <xf numFmtId="164" fontId="11" fillId="0" borderId="21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49" fontId="0" fillId="0" borderId="0" xfId="0" applyNumberFormat="1"/>
    <xf numFmtId="49" fontId="11" fillId="0" borderId="0" xfId="0" applyNumberFormat="1" applyFont="1"/>
    <xf numFmtId="14" fontId="0" fillId="0" borderId="0" xfId="0" applyNumberFormat="1" applyProtection="1">
      <protection locked="0"/>
    </xf>
    <xf numFmtId="0" fontId="10" fillId="0" borderId="0" xfId="0" applyFont="1"/>
    <xf numFmtId="0" fontId="11" fillId="0" borderId="0" xfId="0" applyFont="1"/>
    <xf numFmtId="2" fontId="11" fillId="0" borderId="0" xfId="0" applyNumberFormat="1" applyFont="1" applyAlignment="1">
      <alignment horizontal="center"/>
    </xf>
    <xf numFmtId="9" fontId="0" fillId="0" borderId="0" xfId="3" applyFont="1" applyFill="1" applyBorder="1"/>
    <xf numFmtId="14" fontId="11" fillId="5" borderId="0" xfId="0" applyNumberFormat="1" applyFont="1" applyFill="1" applyAlignment="1" applyProtection="1">
      <alignment horizontal="center"/>
      <protection locked="0"/>
    </xf>
    <xf numFmtId="14" fontId="0" fillId="5" borderId="0" xfId="0" applyNumberFormat="1" applyFill="1" applyProtection="1">
      <protection locked="0"/>
    </xf>
    <xf numFmtId="164" fontId="0" fillId="5" borderId="0" xfId="0" applyNumberFormat="1" applyFill="1"/>
    <xf numFmtId="0" fontId="0" fillId="5" borderId="0" xfId="0" applyFill="1"/>
    <xf numFmtId="164" fontId="4" fillId="5" borderId="0" xfId="0" applyNumberFormat="1" applyFont="1" applyFill="1" applyProtection="1">
      <protection locked="0"/>
    </xf>
    <xf numFmtId="1" fontId="0" fillId="5" borderId="0" xfId="0" applyNumberFormat="1" applyFill="1"/>
    <xf numFmtId="9" fontId="20" fillId="2" borderId="0" xfId="0" applyNumberFormat="1" applyFont="1" applyFill="1"/>
    <xf numFmtId="164" fontId="0" fillId="0" borderId="0" xfId="0" applyNumberFormat="1"/>
    <xf numFmtId="2" fontId="11" fillId="5" borderId="0" xfId="0" applyNumberFormat="1" applyFont="1" applyFill="1" applyAlignment="1">
      <alignment horizontal="center"/>
    </xf>
    <xf numFmtId="0" fontId="11" fillId="5" borderId="0" xfId="0" applyFont="1" applyFill="1" applyAlignment="1">
      <alignment horizontal="center"/>
    </xf>
    <xf numFmtId="1" fontId="0" fillId="0" borderId="0" xfId="0" applyNumberFormat="1"/>
    <xf numFmtId="9" fontId="20" fillId="0" borderId="0" xfId="0" applyNumberFormat="1" applyFont="1"/>
    <xf numFmtId="9" fontId="21" fillId="2" borderId="0" xfId="0" applyNumberFormat="1" applyFont="1" applyFill="1"/>
    <xf numFmtId="0" fontId="12" fillId="0" borderId="0" xfId="0" applyFont="1"/>
    <xf numFmtId="14" fontId="10" fillId="0" borderId="0" xfId="0" applyNumberFormat="1" applyFont="1"/>
    <xf numFmtId="2" fontId="0" fillId="0" borderId="0" xfId="0" applyNumberFormat="1"/>
    <xf numFmtId="0" fontId="11" fillId="0" borderId="13" xfId="0" applyFont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23" fillId="0" borderId="0" xfId="4" applyFill="1" applyBorder="1"/>
    <xf numFmtId="0" fontId="11" fillId="0" borderId="0" xfId="0" quotePrefix="1" applyFont="1" applyAlignment="1">
      <alignment horizontal="center"/>
    </xf>
    <xf numFmtId="49" fontId="11" fillId="0" borderId="0" xfId="0" applyNumberFormat="1" applyFont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8" fillId="0" borderId="13" xfId="0" applyFont="1" applyBorder="1" applyAlignment="1">
      <alignment horizontal="center"/>
    </xf>
    <xf numFmtId="0" fontId="11" fillId="4" borderId="7" xfId="0" applyFont="1" applyFill="1" applyBorder="1" applyAlignment="1">
      <alignment horizontal="center" wrapText="1"/>
    </xf>
    <xf numFmtId="0" fontId="11" fillId="0" borderId="16" xfId="0" applyFont="1" applyBorder="1" applyAlignment="1">
      <alignment horizontal="center"/>
    </xf>
    <xf numFmtId="0" fontId="8" fillId="3" borderId="13" xfId="0" applyFont="1" applyFill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0" fillId="4" borderId="0" xfId="0" applyFill="1" applyAlignment="1">
      <alignment horizontal="center" wrapText="1"/>
    </xf>
    <xf numFmtId="2" fontId="11" fillId="0" borderId="13" xfId="0" applyNumberFormat="1" applyFont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4" fontId="11" fillId="5" borderId="0" xfId="0" applyNumberFormat="1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21" xfId="0" applyFill="1" applyBorder="1"/>
    <xf numFmtId="14" fontId="0" fillId="5" borderId="21" xfId="0" applyNumberFormat="1" applyFill="1" applyBorder="1" applyProtection="1">
      <protection locked="0"/>
    </xf>
    <xf numFmtId="0" fontId="11" fillId="5" borderId="21" xfId="0" applyFont="1" applyFill="1" applyBorder="1" applyAlignment="1">
      <alignment horizontal="center"/>
    </xf>
    <xf numFmtId="0" fontId="10" fillId="5" borderId="21" xfId="0" applyFont="1" applyFill="1" applyBorder="1" applyAlignment="1">
      <alignment horizontal="center"/>
    </xf>
    <xf numFmtId="164" fontId="11" fillId="5" borderId="21" xfId="0" applyNumberFormat="1" applyFont="1" applyFill="1" applyBorder="1" applyAlignment="1">
      <alignment horizontal="center"/>
    </xf>
    <xf numFmtId="164" fontId="3" fillId="0" borderId="21" xfId="0" applyNumberFormat="1" applyFont="1" applyBorder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5" borderId="0" xfId="0" applyNumberFormat="1" applyFont="1" applyFill="1" applyProtection="1">
      <protection locked="0"/>
    </xf>
    <xf numFmtId="2" fontId="3" fillId="5" borderId="21" xfId="0" applyNumberFormat="1" applyFont="1" applyFill="1" applyBorder="1" applyAlignment="1" applyProtection="1">
      <alignment horizontal="center"/>
      <protection locked="0"/>
    </xf>
    <xf numFmtId="2" fontId="3" fillId="5" borderId="0" xfId="0" applyNumberFormat="1" applyFont="1" applyFill="1" applyAlignment="1" applyProtection="1">
      <alignment horizontal="center"/>
      <protection locked="0"/>
    </xf>
    <xf numFmtId="2" fontId="11" fillId="5" borderId="21" xfId="0" applyNumberFormat="1" applyFont="1" applyFill="1" applyBorder="1" applyAlignment="1">
      <alignment horizontal="center"/>
    </xf>
    <xf numFmtId="9" fontId="21" fillId="3" borderId="0" xfId="0" applyNumberFormat="1" applyFont="1" applyFill="1"/>
    <xf numFmtId="9" fontId="21" fillId="7" borderId="0" xfId="0" applyNumberFormat="1" applyFont="1" applyFill="1"/>
    <xf numFmtId="9" fontId="20" fillId="7" borderId="0" xfId="0" applyNumberFormat="1" applyFont="1" applyFill="1"/>
    <xf numFmtId="2" fontId="0" fillId="0" borderId="0" xfId="0" applyNumberFormat="1" applyAlignment="1">
      <alignment horizontal="center"/>
    </xf>
    <xf numFmtId="0" fontId="11" fillId="2" borderId="17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1" xfId="0" applyFill="1" applyBorder="1" applyAlignment="1">
      <alignment horizontal="center"/>
    </xf>
    <xf numFmtId="164" fontId="11" fillId="0" borderId="0" xfId="0" quotePrefix="1" applyNumberFormat="1" applyFont="1" applyAlignment="1">
      <alignment horizontal="center"/>
    </xf>
    <xf numFmtId="0" fontId="11" fillId="0" borderId="0" xfId="0" quotePrefix="1" applyFont="1" applyAlignment="1">
      <alignment horizontal="center" vertical="center"/>
    </xf>
    <xf numFmtId="164" fontId="11" fillId="0" borderId="0" xfId="0" quotePrefix="1" applyNumberFormat="1" applyFont="1" applyAlignment="1">
      <alignment horizontal="center" vertical="center" wrapText="1"/>
    </xf>
    <xf numFmtId="0" fontId="11" fillId="0" borderId="0" xfId="0" quotePrefix="1" applyFont="1" applyAlignment="1">
      <alignment horizontal="center" vertical="center" wrapText="1"/>
    </xf>
    <xf numFmtId="1" fontId="11" fillId="0" borderId="0" xfId="0" quotePrefix="1" applyNumberFormat="1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2" fontId="11" fillId="0" borderId="21" xfId="0" applyNumberFormat="1" applyFont="1" applyBorder="1" applyAlignment="1">
      <alignment horizontal="center"/>
    </xf>
    <xf numFmtId="2" fontId="0" fillId="5" borderId="0" xfId="0" applyNumberFormat="1" applyFill="1"/>
    <xf numFmtId="165" fontId="11" fillId="5" borderId="21" xfId="0" applyNumberFormat="1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12" fillId="0" borderId="21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4" fontId="0" fillId="0" borderId="21" xfId="0" applyNumberFormat="1" applyBorder="1" applyProtection="1">
      <protection locked="0"/>
    </xf>
    <xf numFmtId="9" fontId="21" fillId="0" borderId="0" xfId="0" applyNumberFormat="1" applyFont="1"/>
    <xf numFmtId="14" fontId="24" fillId="0" borderId="0" xfId="0" applyNumberFormat="1" applyFont="1"/>
    <xf numFmtId="2" fontId="25" fillId="0" borderId="0" xfId="0" applyNumberFormat="1" applyFont="1"/>
    <xf numFmtId="1" fontId="25" fillId="0" borderId="0" xfId="0" applyNumberFormat="1" applyFont="1"/>
    <xf numFmtId="164" fontId="25" fillId="0" borderId="0" xfId="0" applyNumberFormat="1" applyFont="1"/>
    <xf numFmtId="2" fontId="11" fillId="0" borderId="0" xfId="0" applyNumberFormat="1" applyFont="1"/>
    <xf numFmtId="0" fontId="11" fillId="0" borderId="7" xfId="0" applyFont="1" applyBorder="1" applyAlignment="1">
      <alignment horizontal="center"/>
    </xf>
    <xf numFmtId="165" fontId="11" fillId="5" borderId="0" xfId="0" applyNumberFormat="1" applyFont="1" applyFill="1" applyAlignment="1">
      <alignment horizontal="center"/>
    </xf>
    <xf numFmtId="0" fontId="11" fillId="7" borderId="0" xfId="0" applyFont="1" applyFill="1" applyAlignment="1">
      <alignment horizontal="center" vertical="center" wrapText="1"/>
    </xf>
    <xf numFmtId="9" fontId="0" fillId="0" borderId="0" xfId="3" applyFont="1" applyAlignment="1">
      <alignment horizontal="left"/>
    </xf>
    <xf numFmtId="0" fontId="0" fillId="0" borderId="16" xfId="0" applyBorder="1" applyAlignment="1">
      <alignment horizontal="center" wrapText="1"/>
    </xf>
    <xf numFmtId="14" fontId="0" fillId="0" borderId="13" xfId="0" applyNumberFormat="1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0" fillId="0" borderId="30" xfId="0" applyBorder="1" applyAlignment="1">
      <alignment horizontal="center"/>
    </xf>
    <xf numFmtId="165" fontId="0" fillId="0" borderId="0" xfId="0" applyNumberFormat="1"/>
    <xf numFmtId="14" fontId="0" fillId="0" borderId="0" xfId="0" applyNumberFormat="1"/>
    <xf numFmtId="9" fontId="20" fillId="3" borderId="0" xfId="0" applyNumberFormat="1" applyFont="1" applyFill="1"/>
    <xf numFmtId="9" fontId="26" fillId="0" borderId="0" xfId="3" applyFont="1" applyFill="1" applyBorder="1"/>
    <xf numFmtId="2" fontId="3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>
      <alignment horizontal="center"/>
    </xf>
    <xf numFmtId="0" fontId="11" fillId="4" borderId="12" xfId="0" applyFont="1" applyFill="1" applyBorder="1" applyAlignment="1">
      <alignment horizontal="center" wrapText="1"/>
    </xf>
    <xf numFmtId="0" fontId="0" fillId="0" borderId="16" xfId="0" applyBorder="1" applyAlignment="1">
      <alignment horizontal="center"/>
    </xf>
    <xf numFmtId="0" fontId="11" fillId="2" borderId="32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2" xfId="0" applyBorder="1" applyAlignment="1">
      <alignment horizontal="center"/>
    </xf>
    <xf numFmtId="14" fontId="0" fillId="0" borderId="0" xfId="0" applyNumberFormat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8" fillId="0" borderId="3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9" fontId="27" fillId="7" borderId="0" xfId="0" applyNumberFormat="1" applyFont="1" applyFill="1"/>
    <xf numFmtId="3" fontId="0" fillId="7" borderId="0" xfId="0" applyNumberFormat="1" applyFill="1" applyAlignment="1">
      <alignment horizontal="center" vertical="center"/>
    </xf>
    <xf numFmtId="16" fontId="0" fillId="0" borderId="0" xfId="0" quotePrefix="1" applyNumberFormat="1" applyAlignment="1">
      <alignment horizontal="left"/>
    </xf>
    <xf numFmtId="0" fontId="0" fillId="0" borderId="0" xfId="0" quotePrefix="1" applyAlignment="1">
      <alignment horizontal="left"/>
    </xf>
    <xf numFmtId="3" fontId="0" fillId="7" borderId="0" xfId="0" applyNumberFormat="1" applyFill="1" applyAlignment="1">
      <alignment horizontal="center"/>
    </xf>
    <xf numFmtId="17" fontId="0" fillId="0" borderId="0" xfId="0" applyNumberFormat="1" applyAlignment="1">
      <alignment horizontal="left"/>
    </xf>
    <xf numFmtId="1" fontId="0" fillId="6" borderId="0" xfId="0" applyNumberFormat="1" applyFill="1" applyAlignment="1">
      <alignment horizontal="left"/>
    </xf>
    <xf numFmtId="0" fontId="0" fillId="0" borderId="0" xfId="0" quotePrefix="1" applyAlignment="1">
      <alignment horizontal="center"/>
    </xf>
    <xf numFmtId="2" fontId="0" fillId="7" borderId="0" xfId="0" applyNumberFormat="1" applyFill="1" applyAlignment="1">
      <alignment horizontal="center" vertical="center"/>
    </xf>
    <xf numFmtId="0" fontId="28" fillId="0" borderId="0" xfId="0" applyFont="1" applyAlignment="1">
      <alignment horizontal="center"/>
    </xf>
    <xf numFmtId="2" fontId="29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11" fillId="0" borderId="13" xfId="0" applyNumberFormat="1" applyFont="1" applyBorder="1" applyAlignment="1">
      <alignment horizontal="center"/>
    </xf>
    <xf numFmtId="167" fontId="11" fillId="0" borderId="13" xfId="0" applyNumberFormat="1" applyFont="1" applyBorder="1" applyAlignment="1">
      <alignment horizontal="center"/>
    </xf>
    <xf numFmtId="168" fontId="0" fillId="0" borderId="0" xfId="0" applyNumberFormat="1" applyAlignment="1">
      <alignment horizontal="center"/>
    </xf>
    <xf numFmtId="168" fontId="6" fillId="0" borderId="0" xfId="0" applyNumberFormat="1" applyFont="1" applyAlignment="1">
      <alignment horizontal="center"/>
    </xf>
    <xf numFmtId="169" fontId="6" fillId="0" borderId="13" xfId="0" applyNumberFormat="1" applyFont="1" applyBorder="1" applyAlignment="1">
      <alignment horizontal="center"/>
    </xf>
    <xf numFmtId="166" fontId="6" fillId="0" borderId="13" xfId="0" applyNumberFormat="1" applyFont="1" applyBorder="1" applyAlignment="1">
      <alignment horizontal="center"/>
    </xf>
    <xf numFmtId="166" fontId="0" fillId="0" borderId="13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8" fillId="0" borderId="21" xfId="0" applyFont="1" applyBorder="1" applyAlignment="1">
      <alignment horizontal="center"/>
    </xf>
    <xf numFmtId="0" fontId="11" fillId="2" borderId="12" xfId="0" applyFont="1" applyFill="1" applyBorder="1" applyAlignment="1">
      <alignment horizontal="center"/>
    </xf>
    <xf numFmtId="0" fontId="8" fillId="0" borderId="13" xfId="0" applyFont="1" applyBorder="1" applyAlignment="1">
      <alignment horizontal="left"/>
    </xf>
    <xf numFmtId="0" fontId="11" fillId="0" borderId="30" xfId="0" applyFont="1" applyBorder="1" applyAlignment="1">
      <alignment horizontal="center"/>
    </xf>
    <xf numFmtId="169" fontId="11" fillId="2" borderId="31" xfId="0" applyNumberFormat="1" applyFont="1" applyFill="1" applyBorder="1" applyAlignment="1">
      <alignment horizontal="center"/>
    </xf>
    <xf numFmtId="169" fontId="11" fillId="2" borderId="13" xfId="0" applyNumberFormat="1" applyFont="1" applyFill="1" applyBorder="1" applyAlignment="1">
      <alignment horizontal="center"/>
    </xf>
    <xf numFmtId="169" fontId="11" fillId="0" borderId="13" xfId="0" applyNumberFormat="1" applyFont="1" applyBorder="1" applyAlignment="1">
      <alignment horizontal="center"/>
    </xf>
    <xf numFmtId="0" fontId="8" fillId="0" borderId="0" xfId="0" applyFont="1" applyAlignment="1">
      <alignment horizontal="left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1" fillId="3" borderId="7" xfId="0" applyFont="1" applyFill="1" applyBorder="1" applyAlignment="1">
      <alignment horizontal="center"/>
    </xf>
    <xf numFmtId="0" fontId="11" fillId="3" borderId="12" xfId="0" applyFont="1" applyFill="1" applyBorder="1" applyAlignment="1">
      <alignment horizontal="center"/>
    </xf>
    <xf numFmtId="9" fontId="30" fillId="0" borderId="0" xfId="3" applyFont="1" applyFill="1" applyBorder="1"/>
    <xf numFmtId="0" fontId="25" fillId="0" borderId="13" xfId="0" applyFont="1" applyBorder="1" applyAlignment="1">
      <alignment horizontal="center"/>
    </xf>
    <xf numFmtId="16" fontId="0" fillId="0" borderId="0" xfId="0" applyNumberFormat="1" applyAlignment="1">
      <alignment horizontal="left"/>
    </xf>
    <xf numFmtId="3" fontId="0" fillId="0" borderId="0" xfId="0" applyNumberFormat="1" applyAlignment="1">
      <alignment horizontal="center" vertical="center"/>
    </xf>
    <xf numFmtId="0" fontId="11" fillId="7" borderId="0" xfId="0" applyFont="1" applyFill="1" applyAlignment="1">
      <alignment horizontal="center" wrapText="1"/>
    </xf>
    <xf numFmtId="0" fontId="26" fillId="0" borderId="0" xfId="0" applyFont="1" applyAlignment="1">
      <alignment horizontal="center" vertical="center"/>
    </xf>
    <xf numFmtId="0" fontId="1" fillId="0" borderId="0" xfId="1" applyFont="1" applyAlignment="1">
      <alignment horizontal="left" wrapText="1"/>
    </xf>
    <xf numFmtId="0" fontId="1" fillId="0" borderId="26" xfId="1" applyFont="1" applyBorder="1" applyAlignment="1">
      <alignment horizontal="left" vertical="top" wrapText="1"/>
    </xf>
    <xf numFmtId="0" fontId="1" fillId="0" borderId="26" xfId="1" applyFont="1" applyBorder="1"/>
    <xf numFmtId="0" fontId="1" fillId="0" borderId="0" xfId="1" applyFont="1"/>
    <xf numFmtId="0" fontId="0" fillId="0" borderId="0" xfId="0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11" fillId="0" borderId="0" xfId="0" applyFont="1" applyAlignment="1">
      <alignment horizontal="center" wrapText="1"/>
    </xf>
    <xf numFmtId="0" fontId="1" fillId="0" borderId="21" xfId="1" applyFont="1" applyBorder="1" applyAlignment="1">
      <alignment horizontal="center" vertical="top"/>
    </xf>
    <xf numFmtId="0" fontId="5" fillId="0" borderId="0" xfId="1" applyAlignment="1">
      <alignment horizontal="center" vertical="top"/>
    </xf>
    <xf numFmtId="0" fontId="5" fillId="0" borderId="9" xfId="1" applyBorder="1" applyAlignment="1">
      <alignment horizontal="center" vertical="top"/>
    </xf>
    <xf numFmtId="0" fontId="5" fillId="0" borderId="10" xfId="1" applyBorder="1" applyAlignment="1">
      <alignment horizontal="center" vertical="top"/>
    </xf>
    <xf numFmtId="0" fontId="5" fillId="0" borderId="11" xfId="1" applyBorder="1" applyAlignment="1">
      <alignment horizontal="center" vertical="top"/>
    </xf>
    <xf numFmtId="14" fontId="0" fillId="0" borderId="0" xfId="0" applyNumberForma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14" fontId="0" fillId="0" borderId="0" xfId="0" applyNumberFormat="1" applyAlignment="1">
      <alignment horizontal="center" vertical="top"/>
    </xf>
    <xf numFmtId="2" fontId="5" fillId="0" borderId="9" xfId="2" applyNumberFormat="1" applyBorder="1" applyAlignment="1">
      <alignment horizontal="center" vertical="center"/>
    </xf>
    <xf numFmtId="2" fontId="5" fillId="0" borderId="10" xfId="2" applyNumberFormat="1" applyBorder="1" applyAlignment="1">
      <alignment horizontal="center" vertical="center"/>
    </xf>
    <xf numFmtId="2" fontId="5" fillId="0" borderId="11" xfId="2" applyNumberFormat="1" applyBorder="1" applyAlignment="1">
      <alignment horizontal="center" vertical="center"/>
    </xf>
    <xf numFmtId="0" fontId="17" fillId="0" borderId="0" xfId="1" applyFont="1" applyAlignment="1">
      <alignment horizontal="left" vertical="top"/>
    </xf>
    <xf numFmtId="0" fontId="17" fillId="0" borderId="7" xfId="1" applyFont="1" applyBorder="1" applyAlignment="1">
      <alignment horizontal="left" vertical="top"/>
    </xf>
    <xf numFmtId="0" fontId="5" fillId="0" borderId="0" xfId="1" applyAlignment="1">
      <alignment horizontal="left" vertical="top" wrapText="1"/>
    </xf>
    <xf numFmtId="9" fontId="5" fillId="0" borderId="9" xfId="2" applyBorder="1" applyAlignment="1">
      <alignment horizontal="center" vertical="center"/>
    </xf>
    <xf numFmtId="9" fontId="5" fillId="0" borderId="10" xfId="2" applyBorder="1" applyAlignment="1">
      <alignment horizontal="center" vertical="center"/>
    </xf>
    <xf numFmtId="9" fontId="5" fillId="0" borderId="11" xfId="2" applyBorder="1" applyAlignment="1">
      <alignment horizontal="center" vertical="center"/>
    </xf>
    <xf numFmtId="0" fontId="0" fillId="0" borderId="7" xfId="0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15" fillId="0" borderId="10" xfId="0" applyFont="1" applyBorder="1" applyAlignment="1">
      <alignment horizontal="center"/>
    </xf>
    <xf numFmtId="0" fontId="16" fillId="0" borderId="9" xfId="0" applyFont="1" applyBorder="1" applyAlignment="1">
      <alignment horizontal="center" vertical="top"/>
    </xf>
    <xf numFmtId="0" fontId="16" fillId="0" borderId="10" xfId="0" applyFont="1" applyBorder="1" applyAlignment="1">
      <alignment horizontal="center" vertical="top"/>
    </xf>
    <xf numFmtId="0" fontId="16" fillId="0" borderId="11" xfId="0" applyFont="1" applyBorder="1" applyAlignment="1">
      <alignment horizontal="center" vertical="top"/>
    </xf>
    <xf numFmtId="14" fontId="5" fillId="0" borderId="21" xfId="1" applyNumberFormat="1" applyBorder="1" applyAlignment="1">
      <alignment horizontal="center" vertical="top"/>
    </xf>
    <xf numFmtId="14" fontId="5" fillId="0" borderId="0" xfId="1" applyNumberFormat="1" applyAlignment="1">
      <alignment horizontal="center" vertical="top"/>
    </xf>
    <xf numFmtId="0" fontId="16" fillId="0" borderId="21" xfId="1" applyFont="1" applyBorder="1" applyAlignment="1">
      <alignment horizontal="center"/>
    </xf>
    <xf numFmtId="0" fontId="16" fillId="0" borderId="0" xfId="1" applyFont="1" applyAlignment="1">
      <alignment horizontal="center"/>
    </xf>
    <xf numFmtId="0" fontId="0" fillId="0" borderId="0" xfId="0" applyAlignment="1">
      <alignment horizontal="center"/>
    </xf>
    <xf numFmtId="0" fontId="0" fillId="0" borderId="13" xfId="0" applyBorder="1" applyAlignment="1">
      <alignment horizontal="center"/>
    </xf>
    <xf numFmtId="0" fontId="0" fillId="0" borderId="9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0" fillId="0" borderId="11" xfId="0" applyBorder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49" fontId="0" fillId="0" borderId="15" xfId="0" applyNumberFormat="1" applyBorder="1" applyAlignment="1">
      <alignment horizontal="center" vertical="top"/>
    </xf>
    <xf numFmtId="49" fontId="0" fillId="0" borderId="16" xfId="0" applyNumberFormat="1" applyBorder="1" applyAlignment="1">
      <alignment horizontal="center" vertical="top"/>
    </xf>
    <xf numFmtId="0" fontId="5" fillId="0" borderId="28" xfId="1" applyBorder="1" applyAlignment="1">
      <alignment horizontal="center" textRotation="90" wrapText="1"/>
    </xf>
    <xf numFmtId="0" fontId="5" fillId="0" borderId="24" xfId="1" applyBorder="1" applyAlignment="1">
      <alignment horizontal="center" vertical="center" wrapText="1"/>
    </xf>
    <xf numFmtId="0" fontId="5" fillId="0" borderId="7" xfId="1" applyBorder="1" applyAlignment="1">
      <alignment horizontal="center" vertical="center" wrapText="1"/>
    </xf>
    <xf numFmtId="0" fontId="5" fillId="0" borderId="12" xfId="1" applyBorder="1" applyAlignment="1">
      <alignment horizontal="center" vertical="center" wrapText="1"/>
    </xf>
    <xf numFmtId="0" fontId="5" fillId="0" borderId="23" xfId="1" applyBorder="1" applyAlignment="1">
      <alignment horizontal="center" vertical="center" wrapText="1"/>
    </xf>
    <xf numFmtId="0" fontId="5" fillId="0" borderId="15" xfId="1" applyBorder="1" applyAlignment="1">
      <alignment horizontal="center" vertical="center" wrapText="1"/>
    </xf>
    <xf numFmtId="0" fontId="5" fillId="0" borderId="16" xfId="1" applyBorder="1" applyAlignment="1">
      <alignment horizontal="center" vertical="center" wrapText="1"/>
    </xf>
    <xf numFmtId="0" fontId="5" fillId="0" borderId="7" xfId="1" applyBorder="1" applyAlignment="1">
      <alignment horizontal="center" vertical="top" wrapText="1"/>
    </xf>
    <xf numFmtId="0" fontId="15" fillId="0" borderId="10" xfId="1" applyFont="1" applyBorder="1" applyAlignment="1">
      <alignment horizontal="center"/>
    </xf>
    <xf numFmtId="0" fontId="16" fillId="0" borderId="9" xfId="1" applyFont="1" applyBorder="1" applyAlignment="1">
      <alignment horizontal="center" vertical="top"/>
    </xf>
    <xf numFmtId="0" fontId="16" fillId="0" borderId="10" xfId="1" applyFont="1" applyBorder="1" applyAlignment="1">
      <alignment horizontal="center" vertical="top"/>
    </xf>
    <xf numFmtId="0" fontId="11" fillId="0" borderId="7" xfId="0" applyFont="1" applyBorder="1" applyAlignment="1">
      <alignment horizontal="center" vertical="top" wrapText="1"/>
    </xf>
    <xf numFmtId="0" fontId="10" fillId="0" borderId="10" xfId="0" applyFont="1" applyBorder="1" applyAlignment="1">
      <alignment horizontal="center" vertical="top" wrapText="1"/>
    </xf>
    <xf numFmtId="0" fontId="5" fillId="0" borderId="21" xfId="1" applyBorder="1" applyAlignment="1">
      <alignment horizontal="center" vertical="top"/>
    </xf>
    <xf numFmtId="0" fontId="15" fillId="0" borderId="9" xfId="1" applyFont="1" applyBorder="1" applyAlignment="1">
      <alignment horizontal="center"/>
    </xf>
    <xf numFmtId="0" fontId="16" fillId="0" borderId="11" xfId="1" applyFont="1" applyBorder="1" applyAlignment="1">
      <alignment horizontal="center" vertical="top"/>
    </xf>
    <xf numFmtId="0" fontId="18" fillId="0" borderId="0" xfId="1" applyFont="1" applyAlignment="1">
      <alignment horizontal="center" vertical="center" wrapText="1"/>
    </xf>
    <xf numFmtId="0" fontId="18" fillId="0" borderId="0" xfId="1" applyFont="1" applyAlignment="1">
      <alignment horizontal="center" vertical="center"/>
    </xf>
    <xf numFmtId="0" fontId="5" fillId="0" borderId="24" xfId="1" applyBorder="1" applyAlignment="1">
      <alignment horizontal="center" vertical="top" wrapText="1"/>
    </xf>
    <xf numFmtId="49" fontId="11" fillId="0" borderId="0" xfId="0" applyNumberFormat="1" applyFont="1" applyAlignment="1">
      <alignment horizontal="left" wrapText="1"/>
    </xf>
  </cellXfs>
  <cellStyles count="8">
    <cellStyle name="Collegamento ipertestuale" xfId="4" builtinId="8"/>
    <cellStyle name="Normal 2" xfId="1" xr:uid="{7FFDADEC-ED1F-44AA-9825-BB49FFB561A5}"/>
    <cellStyle name="Normal 2 2" xfId="5" xr:uid="{62E6609D-1280-43B7-925E-F56F227612C8}"/>
    <cellStyle name="Normale" xfId="0" builtinId="0"/>
    <cellStyle name="Percent 2" xfId="2" xr:uid="{A08FBC37-CFD9-4A03-ADA0-C166F763EBC2}"/>
    <cellStyle name="Percent 2 2" xfId="6" xr:uid="{679F40D6-AC5B-44B7-BDFB-7614C79517CA}"/>
    <cellStyle name="Percent 3" xfId="7" xr:uid="{2372AFFF-3482-467C-9F9D-9D4B6C6BF4C1}"/>
    <cellStyle name="Percentuale" xfId="3" builtinId="5"/>
  </cellStyles>
  <dxfs count="707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</border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</border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/>
      </border>
    </dxf>
    <dxf>
      <alignment horizontal="center" vertical="bottom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 val="0"/>
        <i/>
      </font>
    </dxf>
    <dxf>
      <font>
        <b val="0"/>
        <i/>
        <u/>
        <name val="Cambria"/>
        <scheme val="none"/>
      </font>
    </dxf>
    <dxf>
      <font>
        <b/>
        <i/>
        <u/>
        <name val="Cambria"/>
        <scheme val="none"/>
      </font>
    </dxf>
    <dxf>
      <font>
        <b/>
        <i/>
        <u/>
      </font>
      <numFmt numFmtId="170" formatCode="0.00\ %"/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\&lt;#########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ont>
        <b val="0"/>
        <i/>
      </font>
    </dxf>
    <dxf>
      <font>
        <u/>
      </font>
    </dxf>
    <dxf>
      <font>
        <b/>
        <i val="0"/>
      </font>
    </dxf>
    <dxf>
      <fill>
        <patternFill>
          <bgColor theme="3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2" defaultPivotStyle="PivotStyleLight16">
    <tableStyle name="Tabelstijl_Brussel" pivot="0" count="2" xr9:uid="{00000000-0011-0000-FFFF-FFFF00000000}">
      <tableStyleElement type="wholeTable" dxfId="706"/>
      <tableStyleElement type="headerRow" dxfId="70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Acenafteen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Groundwater!$A$3</c:f>
              <c:strCache>
                <c:ptCount val="1"/>
                <c:pt idx="0">
                  <c:v>30/10/2019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Groundwater!$B$2:$E$2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Groundwater!$B$3:$E$3</c:f>
            </c:numRef>
          </c:val>
          <c:smooth val="0"/>
          <c:extLst>
            <c:ext xmlns:c16="http://schemas.microsoft.com/office/drawing/2014/chart" uri="{C3380CC4-5D6E-409C-BE32-E72D297353CC}">
              <c16:uniqueId val="{00000000-7CE5-4D3B-AA1A-F147CB716C07}"/>
            </c:ext>
          </c:extLst>
        </c:ser>
        <c:ser>
          <c:idx val="4"/>
          <c:order val="4"/>
          <c:tx>
            <c:strRef>
              <c:f>Groundwater!$A$7</c:f>
              <c:strCache>
                <c:ptCount val="1"/>
                <c:pt idx="0">
                  <c:v>04/04/2020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Groundwater!$B$2:$E$2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Groundwater!$B$7:$E$7</c:f>
              <c:numCache>
                <c:formatCode>0</c:formatCode>
                <c:ptCount val="4"/>
                <c:pt idx="0" formatCode="0.0">
                  <c:v>3.94</c:v>
                </c:pt>
                <c:pt idx="1">
                  <c:v>373.33333333333331</c:v>
                </c:pt>
                <c:pt idx="2">
                  <c:v>54</c:v>
                </c:pt>
                <c:pt idx="3" formatCode="0.0">
                  <c:v>0.21199999999999999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CE5-4D3B-AA1A-F147CB716C07}"/>
            </c:ext>
          </c:extLst>
        </c:ser>
        <c:ser>
          <c:idx val="5"/>
          <c:order val="5"/>
          <c:tx>
            <c:strRef>
              <c:f>Groundwater!$A$8</c:f>
              <c:strCache>
                <c:ptCount val="1"/>
                <c:pt idx="0">
                  <c:v>11/01/2021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Groundwater!$B$2:$E$2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Groundwater!$B$8:$E$8</c:f>
              <c:numCache>
                <c:formatCode>0</c:formatCode>
                <c:ptCount val="4"/>
                <c:pt idx="0" formatCode="0.00">
                  <c:v>0.66</c:v>
                </c:pt>
                <c:pt idx="2">
                  <c:v>9.6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CE5-4D3B-AA1A-F147CB716C07}"/>
            </c:ext>
          </c:extLst>
        </c:ser>
        <c:ser>
          <c:idx val="6"/>
          <c:order val="6"/>
          <c:tx>
            <c:strRef>
              <c:f>Groundwater!$A$9</c:f>
              <c:strCache>
                <c:ptCount val="1"/>
                <c:pt idx="0">
                  <c:v>02/06/2021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Groundwater!$B$2:$E$2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Groundwater!$B$9:$E$9</c:f>
              <c:numCache>
                <c:formatCode>0</c:formatCode>
                <c:ptCount val="4"/>
                <c:pt idx="0" formatCode="0.00">
                  <c:v>0.32</c:v>
                </c:pt>
                <c:pt idx="1">
                  <c:v>110</c:v>
                </c:pt>
                <c:pt idx="2">
                  <c:v>15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D1-4E83-B5D3-07691966C565}"/>
            </c:ext>
          </c:extLst>
        </c:ser>
        <c:ser>
          <c:idx val="7"/>
          <c:order val="7"/>
          <c:tx>
            <c:strRef>
              <c:f>Groundwater!$A$10</c:f>
              <c:strCache>
                <c:ptCount val="1"/>
                <c:pt idx="0">
                  <c:v>17/05/2022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Groundwater!$B$2:$E$2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Groundwater!$B$10:$E$10</c:f>
              <c:numCache>
                <c:formatCode>0.00</c:formatCode>
                <c:ptCount val="4"/>
                <c:pt idx="0">
                  <c:v>0.15</c:v>
                </c:pt>
                <c:pt idx="1">
                  <c:v>0.89</c:v>
                </c:pt>
                <c:pt idx="2">
                  <c:v>0.94</c:v>
                </c:pt>
                <c:pt idx="3" formatCode="0.000">
                  <c:v>2.3E-2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D-484A-8897-5571978CB52C}"/>
            </c:ext>
          </c:extLst>
        </c:ser>
        <c:ser>
          <c:idx val="8"/>
          <c:order val="8"/>
          <c:tx>
            <c:strRef>
              <c:f>Groundwater!$A$11</c:f>
              <c:strCache>
                <c:ptCount val="1"/>
                <c:pt idx="0">
                  <c:v>26/10/2022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Groundwater!$B$2:$E$2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Groundwater!$B$11:$E$11</c:f>
              <c:numCache>
                <c:formatCode>0.00</c:formatCode>
                <c:ptCount val="4"/>
                <c:pt idx="0">
                  <c:v>0.26</c:v>
                </c:pt>
                <c:pt idx="1">
                  <c:v>190</c:v>
                </c:pt>
                <c:pt idx="2">
                  <c:v>2.1</c:v>
                </c:pt>
                <c:pt idx="3" formatCode="0.000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E-47E3-9073-1DC94402E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Groundwater!$A$4</c15:sqref>
                        </c15:formulaRef>
                      </c:ext>
                    </c:extLst>
                    <c:strCache>
                      <c:ptCount val="1"/>
                      <c:pt idx="0">
                        <c:v>03/02/2020</c:v>
                      </c:pt>
                    </c:strCache>
                  </c:strRef>
                </c:tx>
                <c:spPr>
                  <a:ln w="28575" cap="rnd">
                    <a:solidFill>
                      <a:srgbClr val="C0000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Groundwater!$B$2:$E$2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Groundwater!$B$4:$E$4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CE5-4D3B-AA1A-F147CB716C07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Groundwater!$A$5</c15:sqref>
                        </c15:formulaRef>
                      </c:ext>
                    </c:extLst>
                    <c:strCache>
                      <c:ptCount val="1"/>
                      <c:pt idx="0">
                        <c:v>30/03/2020</c:v>
                      </c:pt>
                    </c:strCache>
                  </c:strRef>
                </c:tx>
                <c:spPr>
                  <a:ln w="2540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Groundwater!$B$2:$E$2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Groundwater!$B$5:$E$5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CE5-4D3B-AA1A-F147CB716C0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Groundwater!$A$6</c15:sqref>
                        </c15:formulaRef>
                      </c:ext>
                    </c:extLst>
                    <c:strCache>
                      <c:ptCount val="1"/>
                      <c:pt idx="0">
                        <c:v>04/06/2020</c:v>
                      </c:pt>
                    </c:strCache>
                  </c:strRef>
                </c:tx>
                <c:spPr>
                  <a:ln w="2540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Groundwater!$B$2:$E$2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Groundwater!$B$6:$E$6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CE5-4D3B-AA1A-F147CB716C07}"/>
                  </c:ext>
                </c:extLst>
              </c15:ser>
            </c15:filteredLineSeries>
          </c:ext>
        </c:extLst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Pyreen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Groundwater!$H$3</c:f>
              <c:strCache>
                <c:ptCount val="1"/>
                <c:pt idx="0">
                  <c:v>30/10/2019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Groundwater!$I$2:$L$2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Groundwater!$I$3:$L$3</c:f>
            </c:numRef>
          </c:val>
          <c:smooth val="0"/>
          <c:extLst>
            <c:ext xmlns:c16="http://schemas.microsoft.com/office/drawing/2014/chart" uri="{C3380CC4-5D6E-409C-BE32-E72D297353CC}">
              <c16:uniqueId val="{00000000-3EE8-440B-91C1-47923266401A}"/>
            </c:ext>
          </c:extLst>
        </c:ser>
        <c:ser>
          <c:idx val="4"/>
          <c:order val="4"/>
          <c:tx>
            <c:strRef>
              <c:f>Groundwater!$H$7</c:f>
              <c:strCache>
                <c:ptCount val="1"/>
                <c:pt idx="0">
                  <c:v>04/04/2020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Groundwater!$I$2:$L$2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Groundwater!$I$7:$L$7</c:f>
              <c:numCache>
                <c:formatCode>0</c:formatCode>
                <c:ptCount val="4"/>
                <c:pt idx="0" formatCode="0.0">
                  <c:v>0.106</c:v>
                </c:pt>
                <c:pt idx="1">
                  <c:v>4.0999999999999995E-2</c:v>
                </c:pt>
                <c:pt idx="2">
                  <c:v>4.8333333333333339E-2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E8-440B-91C1-47923266401A}"/>
            </c:ext>
          </c:extLst>
        </c:ser>
        <c:ser>
          <c:idx val="5"/>
          <c:order val="5"/>
          <c:tx>
            <c:strRef>
              <c:f>Groundwater!$H$8</c:f>
              <c:strCache>
                <c:ptCount val="1"/>
                <c:pt idx="0">
                  <c:v>11/01/2021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Groundwater!$I$2:$L$2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Groundwater!$I$8:$L$8</c:f>
              <c:numCache>
                <c:formatCode>0</c:formatCode>
                <c:ptCount val="4"/>
                <c:pt idx="0" formatCode="0.00">
                  <c:v>5.0999999999999997E-2</c:v>
                </c:pt>
                <c:pt idx="2">
                  <c:v>1.4999999999999999E-2</c:v>
                </c:pt>
                <c:pt idx="3" formatCode="0.0">
                  <c:v>8.5000000000000006E-2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E8-440B-91C1-47923266401A}"/>
            </c:ext>
          </c:extLst>
        </c:ser>
        <c:ser>
          <c:idx val="6"/>
          <c:order val="6"/>
          <c:tx>
            <c:strRef>
              <c:f>Groundwater!$H$9</c:f>
              <c:strCache>
                <c:ptCount val="1"/>
                <c:pt idx="0">
                  <c:v>02/06/2021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Groundwater!$I$2:$L$2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Groundwater!$I$9:$L$9</c:f>
              <c:numCache>
                <c:formatCode>0</c:formatCode>
                <c:ptCount val="4"/>
                <c:pt idx="0" formatCode="0.00">
                  <c:v>1.0999999999999999E-2</c:v>
                </c:pt>
                <c:pt idx="1">
                  <c:v>1</c:v>
                </c:pt>
                <c:pt idx="2">
                  <c:v>1.7999999999999999E-2</c:v>
                </c:pt>
                <c:pt idx="3" formatCode="0.0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51-4C68-B82C-A7D143D07BDF}"/>
            </c:ext>
          </c:extLst>
        </c:ser>
        <c:ser>
          <c:idx val="7"/>
          <c:order val="7"/>
          <c:tx>
            <c:strRef>
              <c:f>Groundwater!$H$10</c:f>
              <c:strCache>
                <c:ptCount val="1"/>
                <c:pt idx="0">
                  <c:v>17/05/2022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Groundwater!$I$2:$L$2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Groundwater!$I$10:$L$10</c:f>
              <c:numCache>
                <c:formatCode>0.00</c:formatCode>
                <c:ptCount val="4"/>
                <c:pt idx="0">
                  <c:v>1.4E-2</c:v>
                </c:pt>
                <c:pt idx="1">
                  <c:v>0.9</c:v>
                </c:pt>
                <c:pt idx="2">
                  <c:v>5.1999999999999998E-2</c:v>
                </c:pt>
                <c:pt idx="3" formatCode="0.000">
                  <c:v>3.3000000000000002E-2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36-4637-9F52-60356665E40E}"/>
            </c:ext>
          </c:extLst>
        </c:ser>
        <c:ser>
          <c:idx val="8"/>
          <c:order val="8"/>
          <c:tx>
            <c:strRef>
              <c:f>Groundwater!$H$11</c:f>
              <c:strCache>
                <c:ptCount val="1"/>
                <c:pt idx="0">
                  <c:v>26/10/2022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Groundwater!$I$2:$L$2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Groundwater!$I$11:$L$11</c:f>
              <c:numCache>
                <c:formatCode>0.00</c:formatCode>
                <c:ptCount val="4"/>
                <c:pt idx="0">
                  <c:v>0.1</c:v>
                </c:pt>
                <c:pt idx="1">
                  <c:v>10</c:v>
                </c:pt>
                <c:pt idx="2">
                  <c:v>2.4E-2</c:v>
                </c:pt>
                <c:pt idx="3" formatCode="0.000">
                  <c:v>2.8000000000000001E-2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65-45B6-86D1-5F7CA5B5B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Groundwater!$H$4</c15:sqref>
                        </c15:formulaRef>
                      </c:ext>
                    </c:extLst>
                    <c:strCache>
                      <c:ptCount val="1"/>
                      <c:pt idx="0">
                        <c:v>03/02/2020</c:v>
                      </c:pt>
                    </c:strCache>
                  </c:strRef>
                </c:tx>
                <c:spPr>
                  <a:ln w="28575" cap="rnd">
                    <a:solidFill>
                      <a:srgbClr val="C0000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Groundwater!$I$2:$L$2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Groundwater!$I$4:$L$4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EE8-440B-91C1-47923266401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Groundwater!$H$5</c15:sqref>
                        </c15:formulaRef>
                      </c:ext>
                    </c:extLst>
                    <c:strCache>
                      <c:ptCount val="1"/>
                      <c:pt idx="0">
                        <c:v>30/03/2020</c:v>
                      </c:pt>
                    </c:strCache>
                  </c:strRef>
                </c:tx>
                <c:spPr>
                  <a:ln w="2540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Groundwater!$I$2:$L$2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Groundwater!$I$5:$L$5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EE8-440B-91C1-47923266401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Groundwater!$H$6</c15:sqref>
                        </c15:formulaRef>
                      </c:ext>
                    </c:extLst>
                    <c:strCache>
                      <c:ptCount val="1"/>
                      <c:pt idx="0">
                        <c:v>04/06/2020</c:v>
                      </c:pt>
                    </c:strCache>
                  </c:strRef>
                </c:tx>
                <c:spPr>
                  <a:ln w="2540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Groundwater!$I$2:$L$2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Groundwater!$I$6:$L$6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EE8-440B-91C1-47923266401A}"/>
                  </c:ext>
                </c:extLst>
              </c15:ser>
            </c15:filteredLineSeries>
          </c:ext>
        </c:extLst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Fenanthreen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Groundwater!$O$3</c:f>
              <c:strCache>
                <c:ptCount val="1"/>
                <c:pt idx="0">
                  <c:v>30/10/2019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Groundwater!$P$2:$S$2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Groundwater!$P$3:$S$3</c:f>
            </c:numRef>
          </c:val>
          <c:smooth val="0"/>
          <c:extLst>
            <c:ext xmlns:c16="http://schemas.microsoft.com/office/drawing/2014/chart" uri="{C3380CC4-5D6E-409C-BE32-E72D297353CC}">
              <c16:uniqueId val="{00000000-E289-43ED-8947-B032C9D518FD}"/>
            </c:ext>
          </c:extLst>
        </c:ser>
        <c:ser>
          <c:idx val="4"/>
          <c:order val="4"/>
          <c:tx>
            <c:strRef>
              <c:f>Groundwater!$O$7</c:f>
              <c:strCache>
                <c:ptCount val="1"/>
                <c:pt idx="0">
                  <c:v>04/04/2020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Groundwater!$P$2:$S$2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Groundwater!$P$7:$S$7</c:f>
              <c:numCache>
                <c:formatCode>0</c:formatCode>
                <c:ptCount val="4"/>
                <c:pt idx="0" formatCode="0.0">
                  <c:v>9.8333333333333328E-2</c:v>
                </c:pt>
                <c:pt idx="1">
                  <c:v>15.866666666666667</c:v>
                </c:pt>
                <c:pt idx="2">
                  <c:v>8.8333333333333333E-2</c:v>
                </c:pt>
                <c:pt idx="3" formatCode="0.0">
                  <c:v>0.18633333333333335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89-43ED-8947-B032C9D518FD}"/>
            </c:ext>
          </c:extLst>
        </c:ser>
        <c:ser>
          <c:idx val="5"/>
          <c:order val="5"/>
          <c:tx>
            <c:strRef>
              <c:f>Groundwater!$O$8</c:f>
              <c:strCache>
                <c:ptCount val="1"/>
                <c:pt idx="0">
                  <c:v>11/01/2021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Groundwater!$P$2:$S$2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Groundwater!$P$8:$S$8</c:f>
              <c:numCache>
                <c:formatCode>0</c:formatCode>
                <c:ptCount val="4"/>
                <c:pt idx="0" formatCode="0.00">
                  <c:v>2.8000000000000001E-2</c:v>
                </c:pt>
                <c:pt idx="2">
                  <c:v>2.8000000000000001E-2</c:v>
                </c:pt>
                <c:pt idx="3" formatCode="0.0">
                  <c:v>2.5999999999999999E-2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89-43ED-8947-B032C9D518FD}"/>
            </c:ext>
          </c:extLst>
        </c:ser>
        <c:ser>
          <c:idx val="6"/>
          <c:order val="6"/>
          <c:tx>
            <c:strRef>
              <c:f>Groundwater!$O$9</c:f>
              <c:strCache>
                <c:ptCount val="1"/>
                <c:pt idx="0">
                  <c:v>02/06/2021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Groundwater!$P$2:$S$2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Groundwater!$P$9:$S$9</c:f>
              <c:numCache>
                <c:formatCode>0</c:formatCode>
                <c:ptCount val="4"/>
                <c:pt idx="0" formatCode="0.00">
                  <c:v>1.7000000000000001E-2</c:v>
                </c:pt>
                <c:pt idx="1">
                  <c:v>3.8</c:v>
                </c:pt>
                <c:pt idx="2">
                  <c:v>2.5000000000000001E-2</c:v>
                </c:pt>
                <c:pt idx="3" formatCode="0.0">
                  <c:v>3.1E-2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42-463C-81BE-0E32443A60E9}"/>
            </c:ext>
          </c:extLst>
        </c:ser>
        <c:ser>
          <c:idx val="7"/>
          <c:order val="7"/>
          <c:tx>
            <c:strRef>
              <c:f>Groundwater!$O$10</c:f>
              <c:strCache>
                <c:ptCount val="1"/>
                <c:pt idx="0">
                  <c:v>17/05/2022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Groundwater!$P$2:$S$2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Groundwater!$P$10:$S$10</c:f>
              <c:numCache>
                <c:formatCode>0.00</c:formatCode>
                <c:ptCount val="4"/>
                <c:pt idx="0">
                  <c:v>0.01</c:v>
                </c:pt>
                <c:pt idx="1">
                  <c:v>0.85</c:v>
                </c:pt>
                <c:pt idx="2">
                  <c:v>2.1000000000000001E-2</c:v>
                </c:pt>
                <c:pt idx="3" formatCode="0.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10-44C2-B955-5F4B904EFE82}"/>
            </c:ext>
          </c:extLst>
        </c:ser>
        <c:ser>
          <c:idx val="8"/>
          <c:order val="8"/>
          <c:tx>
            <c:strRef>
              <c:f>Groundwater!$O$11</c:f>
              <c:strCache>
                <c:ptCount val="1"/>
                <c:pt idx="0">
                  <c:v>26/10/2022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Groundwater!$P$2:$S$2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Groundwater!$P$11:$S$11</c:f>
              <c:numCache>
                <c:formatCode>0.00</c:formatCode>
                <c:ptCount val="4"/>
                <c:pt idx="0">
                  <c:v>0.1</c:v>
                </c:pt>
                <c:pt idx="1">
                  <c:v>10</c:v>
                </c:pt>
                <c:pt idx="2">
                  <c:v>2.4E-2</c:v>
                </c:pt>
                <c:pt idx="3" formatCode="0.000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A0-405B-BC3D-A8B1A38D2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Groundwater!$O$4</c15:sqref>
                        </c15:formulaRef>
                      </c:ext>
                    </c:extLst>
                    <c:strCache>
                      <c:ptCount val="1"/>
                      <c:pt idx="0">
                        <c:v>03/02/2020</c:v>
                      </c:pt>
                    </c:strCache>
                  </c:strRef>
                </c:tx>
                <c:spPr>
                  <a:ln w="28575" cap="rnd">
                    <a:solidFill>
                      <a:srgbClr val="C0000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Groundwater!$P$2:$S$2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Groundwater!$P$4:$S$4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289-43ED-8947-B032C9D518FD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Groundwater!$O$5</c15:sqref>
                        </c15:formulaRef>
                      </c:ext>
                    </c:extLst>
                    <c:strCache>
                      <c:ptCount val="1"/>
                      <c:pt idx="0">
                        <c:v>30/03/2020</c:v>
                      </c:pt>
                    </c:strCache>
                  </c:strRef>
                </c:tx>
                <c:spPr>
                  <a:ln w="2540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Groundwater!$P$2:$S$2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Groundwater!$P$5:$S$5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289-43ED-8947-B032C9D518F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Groundwater!$O$6</c15:sqref>
                        </c15:formulaRef>
                      </c:ext>
                    </c:extLst>
                    <c:strCache>
                      <c:ptCount val="1"/>
                      <c:pt idx="0">
                        <c:v>04/06/2020</c:v>
                      </c:pt>
                    </c:strCache>
                  </c:strRef>
                </c:tx>
                <c:spPr>
                  <a:ln w="2540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Groundwater!$P$2:$S$2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Groundwater!$P$6:$S$6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289-43ED-8947-B032C9D518FD}"/>
                  </c:ext>
                </c:extLst>
              </c15:ser>
            </c15:filteredLineSeries>
          </c:ext>
        </c:extLst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Naftaleen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Groundwater!$V$3</c:f>
              <c:strCache>
                <c:ptCount val="1"/>
                <c:pt idx="0">
                  <c:v>30/10/2019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Groundwater!$W$2:$Z$2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Groundwater!$W$3:$Z$3</c:f>
            </c:numRef>
          </c:val>
          <c:smooth val="0"/>
          <c:extLst>
            <c:ext xmlns:c16="http://schemas.microsoft.com/office/drawing/2014/chart" uri="{C3380CC4-5D6E-409C-BE32-E72D297353CC}">
              <c16:uniqueId val="{00000000-7715-4DF5-88EC-3B30B400D817}"/>
            </c:ext>
          </c:extLst>
        </c:ser>
        <c:ser>
          <c:idx val="4"/>
          <c:order val="4"/>
          <c:tx>
            <c:strRef>
              <c:f>Groundwater!$V$7</c:f>
              <c:strCache>
                <c:ptCount val="1"/>
                <c:pt idx="0">
                  <c:v>04/04/2020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Groundwater!$W$2:$Z$2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Groundwater!$W$7:$Z$7</c:f>
              <c:numCache>
                <c:formatCode>0</c:formatCode>
                <c:ptCount val="4"/>
                <c:pt idx="0">
                  <c:v>250</c:v>
                </c:pt>
                <c:pt idx="1">
                  <c:v>5033.333333333333</c:v>
                </c:pt>
                <c:pt idx="2">
                  <c:v>11.533333333333333</c:v>
                </c:pt>
                <c:pt idx="3" formatCode="0.0">
                  <c:v>4.4666666666666668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15-4DF5-88EC-3B30B400D817}"/>
            </c:ext>
          </c:extLst>
        </c:ser>
        <c:ser>
          <c:idx val="5"/>
          <c:order val="5"/>
          <c:tx>
            <c:strRef>
              <c:f>Groundwater!$V$8</c:f>
              <c:strCache>
                <c:ptCount val="1"/>
                <c:pt idx="0">
                  <c:v>11/01/2021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Groundwater!$W$2:$Z$2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Groundwater!$W$8:$Z$8</c:f>
              <c:numCache>
                <c:formatCode>0</c:formatCode>
                <c:ptCount val="4"/>
                <c:pt idx="0" formatCode="0.0">
                  <c:v>4.0999999999999996</c:v>
                </c:pt>
                <c:pt idx="2">
                  <c:v>1.8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15-4DF5-88EC-3B30B400D817}"/>
            </c:ext>
          </c:extLst>
        </c:ser>
        <c:ser>
          <c:idx val="6"/>
          <c:order val="6"/>
          <c:tx>
            <c:strRef>
              <c:f>Groundwater!$V$9</c:f>
              <c:strCache>
                <c:ptCount val="1"/>
                <c:pt idx="0">
                  <c:v>02/06/2021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Groundwater!$W$2:$Z$2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Groundwater!$W$9:$Z$9</c:f>
              <c:numCache>
                <c:formatCode>0</c:formatCode>
                <c:ptCount val="4"/>
                <c:pt idx="0" formatCode="0.0">
                  <c:v>1.4</c:v>
                </c:pt>
                <c:pt idx="1">
                  <c:v>400</c:v>
                </c:pt>
                <c:pt idx="2">
                  <c:v>1.1000000000000001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E0-4D8D-A1FE-B6405EC56406}"/>
            </c:ext>
          </c:extLst>
        </c:ser>
        <c:ser>
          <c:idx val="7"/>
          <c:order val="7"/>
          <c:tx>
            <c:strRef>
              <c:f>Groundwater!$V$10</c:f>
              <c:strCache>
                <c:ptCount val="1"/>
                <c:pt idx="0">
                  <c:v>17/05/2022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Groundwater!$W$2:$Z$2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Groundwater!$W$10:$Z$10</c:f>
              <c:numCache>
                <c:formatCode>0</c:formatCode>
                <c:ptCount val="4"/>
                <c:pt idx="0" formatCode="0.00">
                  <c:v>0</c:v>
                </c:pt>
                <c:pt idx="1">
                  <c:v>19</c:v>
                </c:pt>
                <c:pt idx="2" formatCode="0.0">
                  <c:v>2.5</c:v>
                </c:pt>
                <c:pt idx="3" formatCode="0.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67-4FC8-8C49-26A710BACADD}"/>
            </c:ext>
          </c:extLst>
        </c:ser>
        <c:ser>
          <c:idx val="8"/>
          <c:order val="8"/>
          <c:tx>
            <c:strRef>
              <c:f>Groundwater!$V$11</c:f>
              <c:strCache>
                <c:ptCount val="1"/>
                <c:pt idx="0">
                  <c:v>26/10/2022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Groundwater!$W$2:$Z$2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Groundwater!$W$11:$Z$11</c:f>
              <c:numCache>
                <c:formatCode>0</c:formatCode>
                <c:ptCount val="4"/>
                <c:pt idx="0" formatCode="0.00">
                  <c:v>0.23</c:v>
                </c:pt>
                <c:pt idx="1">
                  <c:v>7300</c:v>
                </c:pt>
                <c:pt idx="2" formatCode="0.00">
                  <c:v>0.56000000000000005</c:v>
                </c:pt>
                <c:pt idx="3" formatCode="0.000">
                  <c:v>2.4E-2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77-47A0-A1CE-A5CEAFD0E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Groundwater!$V$4</c15:sqref>
                        </c15:formulaRef>
                      </c:ext>
                    </c:extLst>
                    <c:strCache>
                      <c:ptCount val="1"/>
                      <c:pt idx="0">
                        <c:v>03/02/2020</c:v>
                      </c:pt>
                    </c:strCache>
                  </c:strRef>
                </c:tx>
                <c:spPr>
                  <a:ln w="28575" cap="rnd">
                    <a:solidFill>
                      <a:srgbClr val="C0000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Groundwater!$W$2:$Z$2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Groundwater!$W$4:$Z$4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715-4DF5-88EC-3B30B400D817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Groundwater!$V$5</c15:sqref>
                        </c15:formulaRef>
                      </c:ext>
                    </c:extLst>
                    <c:strCache>
                      <c:ptCount val="1"/>
                      <c:pt idx="0">
                        <c:v>30/03/2020</c:v>
                      </c:pt>
                    </c:strCache>
                  </c:strRef>
                </c:tx>
                <c:spPr>
                  <a:ln w="2540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Groundwater!$W$2:$Z$2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Groundwater!$W$5:$Z$5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715-4DF5-88EC-3B30B400D81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Groundwater!$V$6</c15:sqref>
                        </c15:formulaRef>
                      </c:ext>
                    </c:extLst>
                    <c:strCache>
                      <c:ptCount val="1"/>
                      <c:pt idx="0">
                        <c:v>04/06/2020</c:v>
                      </c:pt>
                    </c:strCache>
                  </c:strRef>
                </c:tx>
                <c:spPr>
                  <a:ln w="2540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Groundwater!$W$2:$Z$2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Groundwater!$W$6:$Z$6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715-4DF5-88EC-3B30B400D817}"/>
                  </c:ext>
                </c:extLst>
              </c15:ser>
            </c15:filteredLineSeries>
          </c:ext>
        </c:extLst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8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midCat"/>
        <c:majorUnit val="1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Benzeen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Groundwater!$A$32</c:f>
              <c:strCache>
                <c:ptCount val="1"/>
                <c:pt idx="0">
                  <c:v>30/10/2019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Groundwater!$B$31:$E$31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Groundwater!$B$32:$E$32</c:f>
            </c:numRef>
          </c:val>
          <c:smooth val="0"/>
          <c:extLst>
            <c:ext xmlns:c16="http://schemas.microsoft.com/office/drawing/2014/chart" uri="{C3380CC4-5D6E-409C-BE32-E72D297353CC}">
              <c16:uniqueId val="{00000000-B127-4665-8A33-165ABAE530DC}"/>
            </c:ext>
          </c:extLst>
        </c:ser>
        <c:ser>
          <c:idx val="4"/>
          <c:order val="4"/>
          <c:tx>
            <c:strRef>
              <c:f>Groundwater!$A$36</c:f>
              <c:strCache>
                <c:ptCount val="1"/>
                <c:pt idx="0">
                  <c:v>04/04/2020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Groundwater!$B$31:$E$31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Groundwater!$B$36:$E$36</c:f>
              <c:numCache>
                <c:formatCode>0</c:formatCode>
                <c:ptCount val="4"/>
                <c:pt idx="0">
                  <c:v>16.2</c:v>
                </c:pt>
                <c:pt idx="1">
                  <c:v>34000</c:v>
                </c:pt>
                <c:pt idx="2">
                  <c:v>84.333333333333329</c:v>
                </c:pt>
                <c:pt idx="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27-4665-8A33-165ABAE530DC}"/>
            </c:ext>
          </c:extLst>
        </c:ser>
        <c:ser>
          <c:idx val="5"/>
          <c:order val="5"/>
          <c:tx>
            <c:strRef>
              <c:f>Groundwater!$A$37</c:f>
              <c:strCache>
                <c:ptCount val="1"/>
                <c:pt idx="0">
                  <c:v>11/01/2021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Groundwater!$B$31:$E$31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Groundwater!$B$37:$E$37</c:f>
              <c:numCache>
                <c:formatCode>0</c:formatCode>
                <c:ptCount val="4"/>
                <c:pt idx="0" formatCode="0.0">
                  <c:v>1.1000000000000001</c:v>
                </c:pt>
                <c:pt idx="1">
                  <c:v>24000</c:v>
                </c:pt>
                <c:pt idx="2">
                  <c:v>18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127-4665-8A33-165ABAE530DC}"/>
            </c:ext>
          </c:extLst>
        </c:ser>
        <c:ser>
          <c:idx val="6"/>
          <c:order val="6"/>
          <c:tx>
            <c:strRef>
              <c:f>Groundwater!$A$38</c:f>
              <c:strCache>
                <c:ptCount val="1"/>
                <c:pt idx="0">
                  <c:v>02/06/2021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Groundwater!$B$31:$E$31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Groundwater!$B$38:$E$38</c:f>
              <c:numCache>
                <c:formatCode>0</c:formatCode>
                <c:ptCount val="4"/>
                <c:pt idx="0" formatCode="0.00">
                  <c:v>0.64</c:v>
                </c:pt>
                <c:pt idx="1">
                  <c:v>18000</c:v>
                </c:pt>
                <c:pt idx="2">
                  <c:v>11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C5-4507-9635-F23BF9DC1A54}"/>
            </c:ext>
          </c:extLst>
        </c:ser>
        <c:ser>
          <c:idx val="7"/>
          <c:order val="7"/>
          <c:tx>
            <c:strRef>
              <c:f>Groundwater!$A$39</c:f>
              <c:strCache>
                <c:ptCount val="1"/>
                <c:pt idx="0">
                  <c:v>17/05/2022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Groundwater!$B$31:$E$31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Groundwater!$B$39:$E$39</c:f>
              <c:numCache>
                <c:formatCode>0</c:formatCode>
                <c:ptCount val="4"/>
                <c:pt idx="0" formatCode="0.0">
                  <c:v>2.2000000000000002</c:v>
                </c:pt>
                <c:pt idx="1">
                  <c:v>7400</c:v>
                </c:pt>
                <c:pt idx="2">
                  <c:v>39</c:v>
                </c:pt>
                <c:pt idx="3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26-467A-8BB4-5A7B180FBF50}"/>
            </c:ext>
          </c:extLst>
        </c:ser>
        <c:ser>
          <c:idx val="8"/>
          <c:order val="8"/>
          <c:tx>
            <c:strRef>
              <c:f>Groundwater!$A$40</c:f>
              <c:strCache>
                <c:ptCount val="1"/>
                <c:pt idx="0">
                  <c:v>26/10/2022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Groundwater!$B$31:$E$31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Groundwater!$B$40:$E$40</c:f>
              <c:numCache>
                <c:formatCode>0</c:formatCode>
                <c:ptCount val="4"/>
                <c:pt idx="0" formatCode="0.0">
                  <c:v>3.7</c:v>
                </c:pt>
                <c:pt idx="1">
                  <c:v>22000</c:v>
                </c:pt>
                <c:pt idx="2">
                  <c:v>5.6</c:v>
                </c:pt>
                <c:pt idx="3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12-4E32-80CA-A56D8E9FB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Groundwater!$A$33</c15:sqref>
                        </c15:formulaRef>
                      </c:ext>
                    </c:extLst>
                    <c:strCache>
                      <c:ptCount val="1"/>
                      <c:pt idx="0">
                        <c:v>03/02/2020</c:v>
                      </c:pt>
                    </c:strCache>
                  </c:strRef>
                </c:tx>
                <c:spPr>
                  <a:ln w="28575" cap="rnd">
                    <a:solidFill>
                      <a:srgbClr val="C0000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Groundwater!$B$31:$E$31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Groundwater!$B$33:$E$33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127-4665-8A33-165ABAE530D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Groundwater!$A$34</c15:sqref>
                        </c15:formulaRef>
                      </c:ext>
                    </c:extLst>
                    <c:strCache>
                      <c:ptCount val="1"/>
                      <c:pt idx="0">
                        <c:v>30/03/2020</c:v>
                      </c:pt>
                    </c:strCache>
                  </c:strRef>
                </c:tx>
                <c:spPr>
                  <a:ln w="2540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Groundwater!$B$31:$E$31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Groundwater!$B$34:$E$34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127-4665-8A33-165ABAE530D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Groundwater!$A$35</c15:sqref>
                        </c15:formulaRef>
                      </c:ext>
                    </c:extLst>
                    <c:strCache>
                      <c:ptCount val="1"/>
                      <c:pt idx="0">
                        <c:v>04/06/2020</c:v>
                      </c:pt>
                    </c:strCache>
                  </c:strRef>
                </c:tx>
                <c:spPr>
                  <a:ln w="2540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Groundwater!$B$31:$E$31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Groundwater!$B$35:$E$35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127-4665-8A33-165ABAE530DC}"/>
                  </c:ext>
                </c:extLst>
              </c15:ser>
            </c15:filteredLineSeries>
          </c:ext>
        </c:extLst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Xylenen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Groundwater!$H$32</c:f>
              <c:strCache>
                <c:ptCount val="1"/>
                <c:pt idx="0">
                  <c:v>30/10/2019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Groundwater!$I$31:$L$31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Groundwater!$I$32:$L$32</c:f>
            </c:numRef>
          </c:val>
          <c:smooth val="0"/>
          <c:extLst>
            <c:ext xmlns:c16="http://schemas.microsoft.com/office/drawing/2014/chart" uri="{C3380CC4-5D6E-409C-BE32-E72D297353CC}">
              <c16:uniqueId val="{00000000-2955-4130-BA55-2A6B701E8C70}"/>
            </c:ext>
          </c:extLst>
        </c:ser>
        <c:ser>
          <c:idx val="4"/>
          <c:order val="4"/>
          <c:tx>
            <c:strRef>
              <c:f>Groundwater!$H$36</c:f>
              <c:strCache>
                <c:ptCount val="1"/>
                <c:pt idx="0">
                  <c:v>04/04/2020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Groundwater!$I$31:$L$31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Groundwater!$I$36:$L$36</c:f>
              <c:numCache>
                <c:formatCode>0</c:formatCode>
                <c:ptCount val="4"/>
                <c:pt idx="0">
                  <c:v>16.033333333333335</c:v>
                </c:pt>
                <c:pt idx="1">
                  <c:v>4233.333333333333</c:v>
                </c:pt>
                <c:pt idx="2">
                  <c:v>5.6000000000000005</c:v>
                </c:pt>
                <c:pt idx="3" formatCode="0.0">
                  <c:v>2.5333333333333332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55-4130-BA55-2A6B701E8C70}"/>
            </c:ext>
          </c:extLst>
        </c:ser>
        <c:ser>
          <c:idx val="5"/>
          <c:order val="5"/>
          <c:tx>
            <c:strRef>
              <c:f>Groundwater!$H$37</c:f>
              <c:strCache>
                <c:ptCount val="1"/>
                <c:pt idx="0">
                  <c:v>11/01/2021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Groundwater!$I$31:$L$31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Groundwater!$I$37:$L$37</c:f>
              <c:numCache>
                <c:formatCode>0</c:formatCode>
                <c:ptCount val="4"/>
                <c:pt idx="0" formatCode="0.0">
                  <c:v>3</c:v>
                </c:pt>
                <c:pt idx="1">
                  <c:v>2300</c:v>
                </c:pt>
                <c:pt idx="2">
                  <c:v>0.63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955-4130-BA55-2A6B701E8C70}"/>
            </c:ext>
          </c:extLst>
        </c:ser>
        <c:ser>
          <c:idx val="6"/>
          <c:order val="6"/>
          <c:tx>
            <c:strRef>
              <c:f>Groundwater!$H$38</c:f>
              <c:strCache>
                <c:ptCount val="1"/>
                <c:pt idx="0">
                  <c:v>02/06/2021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Groundwater!$I$31:$L$31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Groundwater!$I$38:$L$38</c:f>
              <c:numCache>
                <c:formatCode>0</c:formatCode>
                <c:ptCount val="4"/>
                <c:pt idx="0" formatCode="0.00">
                  <c:v>0</c:v>
                </c:pt>
                <c:pt idx="1">
                  <c:v>2300</c:v>
                </c:pt>
                <c:pt idx="2">
                  <c:v>0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90-46E9-9B78-2E23A2A5E430}"/>
            </c:ext>
          </c:extLst>
        </c:ser>
        <c:ser>
          <c:idx val="7"/>
          <c:order val="7"/>
          <c:tx>
            <c:strRef>
              <c:f>Groundwater!$H$39</c:f>
              <c:strCache>
                <c:ptCount val="1"/>
                <c:pt idx="0">
                  <c:v>17/05/2022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Groundwater!$I$31:$L$31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Groundwater!$I$39:$L$39</c:f>
              <c:numCache>
                <c:formatCode>0</c:formatCode>
                <c:ptCount val="4"/>
                <c:pt idx="0" formatCode="0.00">
                  <c:v>0</c:v>
                </c:pt>
                <c:pt idx="1">
                  <c:v>350</c:v>
                </c:pt>
                <c:pt idx="2" formatCode="0.0">
                  <c:v>1</c:v>
                </c:pt>
                <c:pt idx="3" formatCode="0.0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7-4DBF-A94A-0BF6C31350AC}"/>
            </c:ext>
          </c:extLst>
        </c:ser>
        <c:ser>
          <c:idx val="8"/>
          <c:order val="8"/>
          <c:tx>
            <c:strRef>
              <c:f>Groundwater!$H$40</c:f>
              <c:strCache>
                <c:ptCount val="1"/>
                <c:pt idx="0">
                  <c:v>26/10/2022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Groundwater!$I$31:$L$31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Groundwater!$I$40:$L$40</c:f>
              <c:numCache>
                <c:formatCode>0</c:formatCode>
                <c:ptCount val="4"/>
                <c:pt idx="0" formatCode="0.00">
                  <c:v>0.65</c:v>
                </c:pt>
                <c:pt idx="1">
                  <c:v>2200</c:v>
                </c:pt>
                <c:pt idx="2" formatCode="0.00">
                  <c:v>0.4</c:v>
                </c:pt>
                <c:pt idx="3" formatCode="0.000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F0-4220-A9DD-2DF2DFA82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Groundwater!$H$33</c15:sqref>
                        </c15:formulaRef>
                      </c:ext>
                    </c:extLst>
                    <c:strCache>
                      <c:ptCount val="1"/>
                      <c:pt idx="0">
                        <c:v>03/02/2020</c:v>
                      </c:pt>
                    </c:strCache>
                  </c:strRef>
                </c:tx>
                <c:spPr>
                  <a:ln w="28575" cap="rnd">
                    <a:solidFill>
                      <a:srgbClr val="C0000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Groundwater!$I$31:$L$31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Groundwater!$I$33:$L$33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955-4130-BA55-2A6B701E8C70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Groundwater!$H$34</c15:sqref>
                        </c15:formulaRef>
                      </c:ext>
                    </c:extLst>
                    <c:strCache>
                      <c:ptCount val="1"/>
                      <c:pt idx="0">
                        <c:v>30/03/2020</c:v>
                      </c:pt>
                    </c:strCache>
                  </c:strRef>
                </c:tx>
                <c:spPr>
                  <a:ln w="2540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Groundwater!$I$31:$L$31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Groundwater!$I$34:$L$34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955-4130-BA55-2A6B701E8C7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Groundwater!$H$35</c15:sqref>
                        </c15:formulaRef>
                      </c:ext>
                    </c:extLst>
                    <c:strCache>
                      <c:ptCount val="1"/>
                      <c:pt idx="0">
                        <c:v>04/06/2020</c:v>
                      </c:pt>
                    </c:strCache>
                  </c:strRef>
                </c:tx>
                <c:spPr>
                  <a:ln w="2540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Groundwater!$I$31:$L$31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Groundwater!$I$35:$L$35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955-4130-BA55-2A6B701E8C70}"/>
                  </c:ext>
                </c:extLst>
              </c15:ser>
            </c15:filteredLineSeries>
          </c:ext>
        </c:extLst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midCat"/>
        <c:majorUnit val="5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C5-C10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Groundwater!$O$32</c:f>
              <c:strCache>
                <c:ptCount val="1"/>
                <c:pt idx="0">
                  <c:v>30/10/2019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Groundwater!$P$31:$S$31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Groundwater!$P$32:$S$32</c:f>
            </c:numRef>
          </c:val>
          <c:smooth val="0"/>
          <c:extLst>
            <c:ext xmlns:c16="http://schemas.microsoft.com/office/drawing/2014/chart" uri="{C3380CC4-5D6E-409C-BE32-E72D297353CC}">
              <c16:uniqueId val="{00000000-3F3A-4785-800B-CD2193853757}"/>
            </c:ext>
          </c:extLst>
        </c:ser>
        <c:ser>
          <c:idx val="4"/>
          <c:order val="4"/>
          <c:tx>
            <c:strRef>
              <c:f>Groundwater!$O$36</c:f>
              <c:strCache>
                <c:ptCount val="1"/>
                <c:pt idx="0">
                  <c:v>04/04/2020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Groundwater!$P$31:$S$31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Groundwater!$P$36:$S$36</c:f>
              <c:numCache>
                <c:formatCode>0</c:formatCode>
                <c:ptCount val="4"/>
                <c:pt idx="0">
                  <c:v>89.5</c:v>
                </c:pt>
                <c:pt idx="1">
                  <c:v>47666.666666666664</c:v>
                </c:pt>
                <c:pt idx="2">
                  <c:v>124.33333333333333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F3A-4785-800B-CD2193853757}"/>
            </c:ext>
          </c:extLst>
        </c:ser>
        <c:ser>
          <c:idx val="5"/>
          <c:order val="5"/>
          <c:tx>
            <c:strRef>
              <c:f>Groundwater!$O$37</c:f>
              <c:strCache>
                <c:ptCount val="1"/>
                <c:pt idx="0">
                  <c:v>11/01/2021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Groundwater!$P$31:$S$31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Groundwater!$P$37:$S$37</c:f>
              <c:numCache>
                <c:formatCode>0</c:formatCode>
                <c:ptCount val="4"/>
                <c:pt idx="0" formatCode="0.00">
                  <c:v>0</c:v>
                </c:pt>
                <c:pt idx="1">
                  <c:v>30000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F3A-4785-800B-CD2193853757}"/>
            </c:ext>
          </c:extLst>
        </c:ser>
        <c:ser>
          <c:idx val="6"/>
          <c:order val="6"/>
          <c:tx>
            <c:strRef>
              <c:f>Groundwater!$O$38</c:f>
              <c:strCache>
                <c:ptCount val="1"/>
                <c:pt idx="0">
                  <c:v>02/06/2021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Groundwater!$P$31:$S$31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Groundwater!$P$38:$S$38</c:f>
              <c:numCache>
                <c:formatCode>0</c:formatCode>
                <c:ptCount val="4"/>
                <c:pt idx="0" formatCode="0.00">
                  <c:v>0</c:v>
                </c:pt>
                <c:pt idx="1">
                  <c:v>25000</c:v>
                </c:pt>
                <c:pt idx="2">
                  <c:v>0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89-4DEE-B345-46D39729BA78}"/>
            </c:ext>
          </c:extLst>
        </c:ser>
        <c:ser>
          <c:idx val="7"/>
          <c:order val="7"/>
          <c:tx>
            <c:strRef>
              <c:f>Groundwater!$O$39</c:f>
              <c:strCache>
                <c:ptCount val="1"/>
                <c:pt idx="0">
                  <c:v>17/05/2022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Groundwater!$P$31:$S$31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Groundwater!$P$39:$S$39</c:f>
              <c:numCache>
                <c:formatCode>0</c:formatCode>
                <c:ptCount val="4"/>
                <c:pt idx="0" formatCode="0.00">
                  <c:v>0</c:v>
                </c:pt>
                <c:pt idx="1">
                  <c:v>8900</c:v>
                </c:pt>
                <c:pt idx="2" formatCode="0.00">
                  <c:v>0</c:v>
                </c:pt>
                <c:pt idx="3" formatCode="0.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35-45A8-B727-B47B6454D353}"/>
            </c:ext>
          </c:extLst>
        </c:ser>
        <c:ser>
          <c:idx val="8"/>
          <c:order val="8"/>
          <c:tx>
            <c:strRef>
              <c:f>Groundwater!$O$40</c:f>
              <c:strCache>
                <c:ptCount val="1"/>
                <c:pt idx="0">
                  <c:v>26/10/2022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Groundwater!$P$31:$S$31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Groundwater!$P$40:$S$40</c:f>
              <c:numCache>
                <c:formatCode>0</c:formatCode>
                <c:ptCount val="4"/>
                <c:pt idx="0" formatCode="0.00">
                  <c:v>0</c:v>
                </c:pt>
                <c:pt idx="1">
                  <c:v>32000</c:v>
                </c:pt>
                <c:pt idx="2" formatCode="0.00">
                  <c:v>0</c:v>
                </c:pt>
                <c:pt idx="3" formatCode="0.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FC-4F3A-BA76-02518427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Groundwater!$O$33</c15:sqref>
                        </c15:formulaRef>
                      </c:ext>
                    </c:extLst>
                    <c:strCache>
                      <c:ptCount val="1"/>
                      <c:pt idx="0">
                        <c:v>03/02/2020</c:v>
                      </c:pt>
                    </c:strCache>
                  </c:strRef>
                </c:tx>
                <c:spPr>
                  <a:ln w="28575" cap="rnd">
                    <a:solidFill>
                      <a:srgbClr val="C0000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Groundwater!$P$31:$S$31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Groundwater!$P$33:$S$33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F3A-4785-800B-CD2193853757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Groundwater!$O$34</c15:sqref>
                        </c15:formulaRef>
                      </c:ext>
                    </c:extLst>
                    <c:strCache>
                      <c:ptCount val="1"/>
                      <c:pt idx="0">
                        <c:v>30/03/2020</c:v>
                      </c:pt>
                    </c:strCache>
                  </c:strRef>
                </c:tx>
                <c:spPr>
                  <a:ln w="2540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Groundwater!$P$31:$S$31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Groundwater!$P$34:$S$34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F3A-4785-800B-CD219385375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Groundwater!$O$35</c15:sqref>
                        </c15:formulaRef>
                      </c:ext>
                    </c:extLst>
                    <c:strCache>
                      <c:ptCount val="1"/>
                      <c:pt idx="0">
                        <c:v>04/06/2020</c:v>
                      </c:pt>
                    </c:strCache>
                  </c:strRef>
                </c:tx>
                <c:spPr>
                  <a:ln w="2540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Groundwater!$P$31:$S$31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Groundwater!$P$35:$S$35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F3A-4785-800B-CD2193853757}"/>
                  </c:ext>
                </c:extLst>
              </c15:ser>
            </c15:filteredLineSeries>
          </c:ext>
        </c:extLst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midCat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Antraceen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Groundwater!$V$32</c:f>
              <c:strCache>
                <c:ptCount val="1"/>
                <c:pt idx="0">
                  <c:v>30/10/2019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Groundwater!$W$31:$Z$31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Groundwater!$W$32:$Z$32</c:f>
            </c:numRef>
          </c:val>
          <c:smooth val="0"/>
          <c:extLst>
            <c:ext xmlns:c16="http://schemas.microsoft.com/office/drawing/2014/chart" uri="{C3380CC4-5D6E-409C-BE32-E72D297353CC}">
              <c16:uniqueId val="{00000000-0C09-4354-B9E0-12FC28877F2A}"/>
            </c:ext>
          </c:extLst>
        </c:ser>
        <c:ser>
          <c:idx val="4"/>
          <c:order val="4"/>
          <c:tx>
            <c:strRef>
              <c:f>Groundwater!$V$36</c:f>
              <c:strCache>
                <c:ptCount val="1"/>
                <c:pt idx="0">
                  <c:v>04/04/2020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Groundwater!$W$31:$Z$31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Groundwater!$W$36:$Z$36</c:f>
              <c:numCache>
                <c:formatCode>0.0</c:formatCode>
                <c:ptCount val="4"/>
                <c:pt idx="0">
                  <c:v>0.18200000000000002</c:v>
                </c:pt>
                <c:pt idx="1">
                  <c:v>6.7166666666666659</c:v>
                </c:pt>
                <c:pt idx="2" formatCode="0">
                  <c:v>0.42333333333333334</c:v>
                </c:pt>
                <c:pt idx="3">
                  <c:v>0.12700000000000003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09-4354-B9E0-12FC28877F2A}"/>
            </c:ext>
          </c:extLst>
        </c:ser>
        <c:ser>
          <c:idx val="5"/>
          <c:order val="5"/>
          <c:tx>
            <c:strRef>
              <c:f>Groundwater!$V$37</c:f>
              <c:strCache>
                <c:ptCount val="1"/>
                <c:pt idx="0">
                  <c:v>11/01/2021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Groundwater!$W$31:$Z$31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Groundwater!$W$37:$Z$37</c:f>
              <c:numCache>
                <c:formatCode>0</c:formatCode>
                <c:ptCount val="4"/>
                <c:pt idx="0" formatCode="0.00">
                  <c:v>4.7E-2</c:v>
                </c:pt>
                <c:pt idx="2">
                  <c:v>9.9000000000000005E-2</c:v>
                </c:pt>
                <c:pt idx="3" formatCode="0.0">
                  <c:v>2.3E-2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09-4354-B9E0-12FC28877F2A}"/>
            </c:ext>
          </c:extLst>
        </c:ser>
        <c:ser>
          <c:idx val="6"/>
          <c:order val="6"/>
          <c:tx>
            <c:strRef>
              <c:f>Groundwater!$V$38</c:f>
              <c:strCache>
                <c:ptCount val="1"/>
                <c:pt idx="0">
                  <c:v>02/06/2021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Groundwater!$W$31:$Z$31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Groundwater!$W$38:$Z$38</c:f>
              <c:numCache>
                <c:formatCode>0</c:formatCode>
                <c:ptCount val="4"/>
                <c:pt idx="0" formatCode="0.00">
                  <c:v>2.4E-2</c:v>
                </c:pt>
                <c:pt idx="1">
                  <c:v>0.38</c:v>
                </c:pt>
                <c:pt idx="2">
                  <c:v>8.7999999999999995E-2</c:v>
                </c:pt>
                <c:pt idx="3" formatCode="0.0">
                  <c:v>3.2000000000000001E-2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F7-413D-AFFB-5EE1A68C427B}"/>
            </c:ext>
          </c:extLst>
        </c:ser>
        <c:ser>
          <c:idx val="7"/>
          <c:order val="7"/>
          <c:tx>
            <c:strRef>
              <c:f>Groundwater!$V$39</c:f>
              <c:strCache>
                <c:ptCount val="1"/>
                <c:pt idx="0">
                  <c:v>17/05/2022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Groundwater!$W$31:$Z$31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Groundwater!$W$39:$Z$39</c:f>
              <c:numCache>
                <c:formatCode>0.00</c:formatCode>
                <c:ptCount val="4"/>
                <c:pt idx="0">
                  <c:v>1.6E-2</c:v>
                </c:pt>
                <c:pt idx="1">
                  <c:v>0.13</c:v>
                </c:pt>
                <c:pt idx="2">
                  <c:v>7.8E-2</c:v>
                </c:pt>
                <c:pt idx="3" formatCode="0.000">
                  <c:v>1.2E-2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D8-41C9-85F0-C791F81AFCD0}"/>
            </c:ext>
          </c:extLst>
        </c:ser>
        <c:ser>
          <c:idx val="8"/>
          <c:order val="8"/>
          <c:tx>
            <c:strRef>
              <c:f>Groundwater!$V$40</c:f>
              <c:strCache>
                <c:ptCount val="1"/>
                <c:pt idx="0">
                  <c:v>26/10/2022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Groundwater!$W$31:$Z$31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Groundwater!$W$40:$Z$40</c:f>
              <c:numCache>
                <c:formatCode>0.00</c:formatCode>
                <c:ptCount val="4"/>
                <c:pt idx="0">
                  <c:v>0.1</c:v>
                </c:pt>
                <c:pt idx="1">
                  <c:v>10</c:v>
                </c:pt>
                <c:pt idx="2">
                  <c:v>0.11</c:v>
                </c:pt>
                <c:pt idx="3" formatCode="0.000">
                  <c:v>1.7000000000000001E-2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43-44F6-A412-30FECA104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Groundwater!$V$33</c15:sqref>
                        </c15:formulaRef>
                      </c:ext>
                    </c:extLst>
                    <c:strCache>
                      <c:ptCount val="1"/>
                      <c:pt idx="0">
                        <c:v>03/02/2020</c:v>
                      </c:pt>
                    </c:strCache>
                  </c:strRef>
                </c:tx>
                <c:spPr>
                  <a:ln w="28575" cap="rnd">
                    <a:solidFill>
                      <a:srgbClr val="C00000"/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Groundwater!$W$31:$Z$31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Groundwater!$W$33:$Z$33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C09-4354-B9E0-12FC28877F2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Groundwater!$V$34</c15:sqref>
                        </c15:formulaRef>
                      </c:ext>
                    </c:extLst>
                    <c:strCache>
                      <c:ptCount val="1"/>
                      <c:pt idx="0">
                        <c:v>30/03/2020</c:v>
                      </c:pt>
                    </c:strCache>
                  </c:strRef>
                </c:tx>
                <c:spPr>
                  <a:ln w="2540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Groundwater!$W$31:$Z$31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Groundwater!$W$34:$Z$34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C09-4354-B9E0-12FC28877F2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Groundwater!$V$35</c15:sqref>
                        </c15:formulaRef>
                      </c:ext>
                    </c:extLst>
                    <c:strCache>
                      <c:ptCount val="1"/>
                      <c:pt idx="0">
                        <c:v>04/06/2020</c:v>
                      </c:pt>
                    </c:strCache>
                  </c:strRef>
                </c:tx>
                <c:spPr>
                  <a:ln w="2540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Groundwater!$W$31:$Z$31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Groundwater!$W$35:$Z$35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C09-4354-B9E0-12FC28877F2A}"/>
                  </c:ext>
                </c:extLst>
              </c15:ser>
            </c15:filteredLineSeries>
          </c:ext>
        </c:extLst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Fenolindex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Groundwater!$AD$32</c:f>
              <c:strCache>
                <c:ptCount val="1"/>
                <c:pt idx="0">
                  <c:v>30/10/2019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Groundwater!$AE$31:$AH$31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Groundwater!$AE$32:$AH$32</c:f>
            </c:numRef>
          </c:val>
          <c:smooth val="0"/>
          <c:extLst>
            <c:ext xmlns:c16="http://schemas.microsoft.com/office/drawing/2014/chart" uri="{C3380CC4-5D6E-409C-BE32-E72D297353CC}">
              <c16:uniqueId val="{00000004-1A76-4FEF-B261-67DE3329FAB9}"/>
            </c:ext>
          </c:extLst>
        </c:ser>
        <c:ser>
          <c:idx val="3"/>
          <c:order val="5"/>
          <c:tx>
            <c:strRef>
              <c:f>Groundwater!$AD$37</c:f>
              <c:strCache>
                <c:ptCount val="1"/>
                <c:pt idx="0">
                  <c:v>11/01/2021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Groundwater!$AE$31:$AH$31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Groundwater!$AE$37:$AH$37</c:f>
              <c:numCache>
                <c:formatCode>0.00</c:formatCode>
                <c:ptCount val="4"/>
                <c:pt idx="0">
                  <c:v>0</c:v>
                </c:pt>
                <c:pt idx="1">
                  <c:v>1200</c:v>
                </c:pt>
                <c:pt idx="2" formatCode="0">
                  <c:v>9.3000000000000007</c:v>
                </c:pt>
                <c:pt idx="3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CD-41D0-8705-8435DFB73AD9}"/>
            </c:ext>
          </c:extLst>
        </c:ser>
        <c:ser>
          <c:idx val="6"/>
          <c:order val="6"/>
          <c:tx>
            <c:strRef>
              <c:f>Groundwater!$AD$38</c:f>
              <c:strCache>
                <c:ptCount val="1"/>
                <c:pt idx="0">
                  <c:v>02/06/2021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Groundwater!$AE$31:$AH$31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Groundwater!$AE$38:$AH$38</c:f>
              <c:numCache>
                <c:formatCode>0</c:formatCode>
                <c:ptCount val="4"/>
                <c:pt idx="0" formatCode="0.00">
                  <c:v>0</c:v>
                </c:pt>
                <c:pt idx="1">
                  <c:v>2400</c:v>
                </c:pt>
                <c:pt idx="2">
                  <c:v>5</c:v>
                </c:pt>
                <c:pt idx="3" formatCode="0.0">
                  <c:v>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CD-41D0-8705-8435DFB73AD9}"/>
            </c:ext>
          </c:extLst>
        </c:ser>
        <c:ser>
          <c:idx val="7"/>
          <c:order val="7"/>
          <c:tx>
            <c:strRef>
              <c:f>Groundwater!$AD$39</c:f>
              <c:strCache>
                <c:ptCount val="1"/>
                <c:pt idx="0">
                  <c:v>17/05/2022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Groundwater!$AE$31:$AH$31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Groundwater!$AE$39:$AH$39</c:f>
              <c:numCache>
                <c:formatCode>0.00</c:formatCode>
                <c:ptCount val="4"/>
                <c:pt idx="0">
                  <c:v>4</c:v>
                </c:pt>
                <c:pt idx="1">
                  <c:v>820</c:v>
                </c:pt>
                <c:pt idx="2">
                  <c:v>3.1</c:v>
                </c:pt>
                <c:pt idx="3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5CD-41D0-8705-8435DFB73AD9}"/>
            </c:ext>
          </c:extLst>
        </c:ser>
        <c:ser>
          <c:idx val="8"/>
          <c:order val="8"/>
          <c:tx>
            <c:strRef>
              <c:f>Groundwater!$AD$40</c:f>
              <c:strCache>
                <c:ptCount val="1"/>
                <c:pt idx="0">
                  <c:v>26/10/2022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Groundwater!$AE$31:$AH$31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100</c:v>
                </c:pt>
              </c:numCache>
            </c:numRef>
          </c:cat>
          <c:val>
            <c:numRef>
              <c:f>Groundwater!$AE$40:$AH$40</c:f>
              <c:numCache>
                <c:formatCode>0.00</c:formatCode>
                <c:ptCount val="4"/>
                <c:pt idx="0">
                  <c:v>0</c:v>
                </c:pt>
                <c:pt idx="1">
                  <c:v>3300</c:v>
                </c:pt>
                <c:pt idx="2">
                  <c:v>4.2</c:v>
                </c:pt>
                <c:pt idx="3" formatCode="0.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9F-44DB-A90C-2F4C206CA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  <c:extLst>
          <c:ext xmlns:c15="http://schemas.microsoft.com/office/drawing/2012/chart" uri="{02D57815-91ED-43cb-92C2-25804820EDAC}">
            <c15:filteredLine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Groundwater!$AD$33</c15:sqref>
                        </c15:formulaRef>
                      </c:ext>
                    </c:extLst>
                    <c:strCache>
                      <c:ptCount val="1"/>
                      <c:pt idx="0">
                        <c:v>03/02/2020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Groundwater!$AE$31:$AH$31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Groundwater!$AE$33:$AH$33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1A76-4FEF-B261-67DE3329FAB9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Groundwater!$AD$34</c15:sqref>
                        </c15:formulaRef>
                      </c:ext>
                    </c:extLst>
                    <c:strCache>
                      <c:ptCount val="1"/>
                      <c:pt idx="0">
                        <c:v>30/03/2020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Groundwater!$AE$31:$AH$31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Groundwater!$AE$34:$AH$34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5CD-41D0-8705-8435DFB73AD9}"/>
                  </c:ext>
                </c:extLst>
              </c15:ser>
            </c15:filteredLineSeries>
            <c15:filteredLine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Groundwater!$AD$35</c15:sqref>
                        </c15:formulaRef>
                      </c:ext>
                    </c:extLst>
                    <c:strCache>
                      <c:ptCount val="1"/>
                      <c:pt idx="0">
                        <c:v>04/06/2020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Groundwater!$AE$31:$AH$31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Groundwater!$AE$35:$AH$35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5CD-41D0-8705-8435DFB73AD9}"/>
                  </c:ext>
                </c:extLst>
              </c15:ser>
            </c15:filteredLineSeries>
            <c15:filteredLine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Groundwater!$AD$36</c15:sqref>
                        </c15:formulaRef>
                      </c:ext>
                    </c:extLst>
                    <c:strCache>
                      <c:ptCount val="1"/>
                      <c:pt idx="0">
                        <c:v>04/04/2020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Groundwater!$AE$31:$AH$31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50</c:v>
                      </c:pt>
                      <c:pt idx="2">
                        <c:v>90</c:v>
                      </c:pt>
                      <c:pt idx="3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Groundwater!$AE$36:$AH$36</c15:sqref>
                        </c15:formulaRef>
                      </c:ext>
                    </c:extLst>
                    <c:numCache>
                      <c:formatCode>0</c:formatCode>
                      <c:ptCount val="4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5CD-41D0-8705-8435DFB73AD9}"/>
                  </c:ext>
                </c:extLst>
              </c15:ser>
            </c15:filteredLineSeries>
          </c:ext>
        </c:extLst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Acenafteen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'Wat over mat'!$B$4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'Wat over mat'!$F$3:$N$3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mat'!$F$4:$N$4</c:f>
              <c:numCache>
                <c:formatCode>0.0</c:formatCode>
                <c:ptCount val="9"/>
                <c:pt idx="0">
                  <c:v>8.4</c:v>
                </c:pt>
                <c:pt idx="1">
                  <c:v>0.6</c:v>
                </c:pt>
                <c:pt idx="2" formatCode="0.00">
                  <c:v>0.92</c:v>
                </c:pt>
                <c:pt idx="3" formatCode="0.00">
                  <c:v>0.73</c:v>
                </c:pt>
                <c:pt idx="4" formatCode="0.00">
                  <c:v>1.7</c:v>
                </c:pt>
                <c:pt idx="5" formatCode="0.00">
                  <c:v>0.19</c:v>
                </c:pt>
                <c:pt idx="6" formatCode="0.00">
                  <c:v>3.3</c:v>
                </c:pt>
                <c:pt idx="7" formatCode="0.00">
                  <c:v>6.5</c:v>
                </c:pt>
                <c:pt idx="8" formatCode="0.00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8E-42B8-96A8-F45131122A36}"/>
            </c:ext>
          </c:extLst>
        </c:ser>
        <c:ser>
          <c:idx val="1"/>
          <c:order val="1"/>
          <c:tx>
            <c:strRef>
              <c:f>'Wat over mat'!$B$5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'Wat over mat'!$F$3:$N$3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mat'!$F$5:$N$5</c:f>
              <c:numCache>
                <c:formatCode>0.0</c:formatCode>
                <c:ptCount val="9"/>
                <c:pt idx="0">
                  <c:v>11.166666666666666</c:v>
                </c:pt>
                <c:pt idx="1">
                  <c:v>1.7</c:v>
                </c:pt>
                <c:pt idx="2">
                  <c:v>1.1000000000000001</c:v>
                </c:pt>
                <c:pt idx="3">
                  <c:v>0.85</c:v>
                </c:pt>
                <c:pt idx="4">
                  <c:v>5.7</c:v>
                </c:pt>
                <c:pt idx="5">
                  <c:v>0.54</c:v>
                </c:pt>
                <c:pt idx="6">
                  <c:v>2.6</c:v>
                </c:pt>
                <c:pt idx="7">
                  <c:v>7</c:v>
                </c:pt>
                <c:pt idx="8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8E-42B8-96A8-F45131122A36}"/>
            </c:ext>
          </c:extLst>
        </c:ser>
        <c:ser>
          <c:idx val="2"/>
          <c:order val="2"/>
          <c:tx>
            <c:strRef>
              <c:f>'Wat over mat'!$B$6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'Wat over mat'!$F$3:$N$3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mat'!$F$6:$N$6</c:f>
              <c:numCache>
                <c:formatCode>0.0</c:formatCode>
                <c:ptCount val="9"/>
                <c:pt idx="0">
                  <c:v>10.766666666666666</c:v>
                </c:pt>
                <c:pt idx="1">
                  <c:v>2.2000000000000002</c:v>
                </c:pt>
                <c:pt idx="2">
                  <c:v>0</c:v>
                </c:pt>
                <c:pt idx="3">
                  <c:v>1.5</c:v>
                </c:pt>
                <c:pt idx="4">
                  <c:v>4.5999999999999996</c:v>
                </c:pt>
                <c:pt idx="5">
                  <c:v>1.6</c:v>
                </c:pt>
                <c:pt idx="6">
                  <c:v>3.3</c:v>
                </c:pt>
                <c:pt idx="7">
                  <c:v>4.9000000000000004</c:v>
                </c:pt>
                <c:pt idx="8">
                  <c:v>0.26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8E-42B8-96A8-F45131122A36}"/>
            </c:ext>
          </c:extLst>
        </c:ser>
        <c:ser>
          <c:idx val="3"/>
          <c:order val="3"/>
          <c:tx>
            <c:strRef>
              <c:f>'Wat over mat'!$B$7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'Wat over mat'!$F$3:$N$3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mat'!$F$7:$N$7</c:f>
              <c:numCache>
                <c:formatCode>0.0</c:formatCode>
                <c:ptCount val="9"/>
                <c:pt idx="0">
                  <c:v>9.4666666666666668</c:v>
                </c:pt>
                <c:pt idx="1">
                  <c:v>2.6</c:v>
                </c:pt>
                <c:pt idx="2">
                  <c:v>0.59</c:v>
                </c:pt>
                <c:pt idx="3">
                  <c:v>2.1</c:v>
                </c:pt>
                <c:pt idx="4">
                  <c:v>4.0999999999999996</c:v>
                </c:pt>
                <c:pt idx="5">
                  <c:v>0.6</c:v>
                </c:pt>
                <c:pt idx="6">
                  <c:v>2.5</c:v>
                </c:pt>
                <c:pt idx="7">
                  <c:v>4</c:v>
                </c:pt>
                <c:pt idx="8">
                  <c:v>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8E-42B8-96A8-F45131122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3"/>
        <c:majorTimeUnit val="months"/>
        <c:minorUnit val="2"/>
        <c:minorTimeUnit val="months"/>
      </c:dateAx>
      <c:valAx>
        <c:axId val="697961896"/>
        <c:scaling>
          <c:orientation val="minMax"/>
          <c:max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Fenantreen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'Wat over mat'!$AX$4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'Wat over mat'!$BB$3:$BJ$3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mat'!$BB$4:$BJ$4</c:f>
              <c:numCache>
                <c:formatCode>0.00</c:formatCode>
                <c:ptCount val="9"/>
                <c:pt idx="0" formatCode="0.0">
                  <c:v>5.6700000000000008</c:v>
                </c:pt>
                <c:pt idx="1">
                  <c:v>7.2999999999999995E-2</c:v>
                </c:pt>
                <c:pt idx="2">
                  <c:v>0.16</c:v>
                </c:pt>
                <c:pt idx="3">
                  <c:v>0.11</c:v>
                </c:pt>
                <c:pt idx="4">
                  <c:v>0.6</c:v>
                </c:pt>
                <c:pt idx="5">
                  <c:v>0</c:v>
                </c:pt>
                <c:pt idx="6">
                  <c:v>0.75</c:v>
                </c:pt>
                <c:pt idx="7">
                  <c:v>0.13</c:v>
                </c:pt>
                <c:pt idx="8">
                  <c:v>5.8999999999999997E-2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74-41DC-8689-E57240B3B4BE}"/>
            </c:ext>
          </c:extLst>
        </c:ser>
        <c:ser>
          <c:idx val="1"/>
          <c:order val="1"/>
          <c:tx>
            <c:strRef>
              <c:f>'Wat over mat'!$AX$5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'Wat over mat'!$BB$3:$BJ$3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mat'!$BB$5:$BJ$5</c:f>
              <c:numCache>
                <c:formatCode>0.00</c:formatCode>
                <c:ptCount val="9"/>
                <c:pt idx="0" formatCode="0.0">
                  <c:v>6.6033333333333344</c:v>
                </c:pt>
                <c:pt idx="1">
                  <c:v>0.68</c:v>
                </c:pt>
                <c:pt idx="2">
                  <c:v>0.01</c:v>
                </c:pt>
                <c:pt idx="3">
                  <c:v>0.18</c:v>
                </c:pt>
                <c:pt idx="4">
                  <c:v>2.1</c:v>
                </c:pt>
                <c:pt idx="5">
                  <c:v>0.11</c:v>
                </c:pt>
                <c:pt idx="6">
                  <c:v>0.56000000000000005</c:v>
                </c:pt>
                <c:pt idx="7">
                  <c:v>6.8000000000000005E-2</c:v>
                </c:pt>
                <c:pt idx="8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74-41DC-8689-E57240B3B4BE}"/>
            </c:ext>
          </c:extLst>
        </c:ser>
        <c:ser>
          <c:idx val="2"/>
          <c:order val="2"/>
          <c:tx>
            <c:strRef>
              <c:f>'Wat over mat'!$AX$6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'Wat over mat'!$BB$3:$BJ$3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mat'!$BB$6:$BJ$6</c:f>
              <c:numCache>
                <c:formatCode>0.00</c:formatCode>
                <c:ptCount val="9"/>
                <c:pt idx="0" formatCode="0.0">
                  <c:v>5.97</c:v>
                </c:pt>
                <c:pt idx="1">
                  <c:v>0.73</c:v>
                </c:pt>
                <c:pt idx="2">
                  <c:v>2.3E-2</c:v>
                </c:pt>
                <c:pt idx="3">
                  <c:v>8.6999999999999994E-2</c:v>
                </c:pt>
                <c:pt idx="4">
                  <c:v>1.3</c:v>
                </c:pt>
                <c:pt idx="5">
                  <c:v>0.3</c:v>
                </c:pt>
                <c:pt idx="6">
                  <c:v>0.31</c:v>
                </c:pt>
                <c:pt idx="7">
                  <c:v>0.15</c:v>
                </c:pt>
                <c:pt idx="8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74-41DC-8689-E57240B3B4BE}"/>
            </c:ext>
          </c:extLst>
        </c:ser>
        <c:ser>
          <c:idx val="3"/>
          <c:order val="3"/>
          <c:tx>
            <c:strRef>
              <c:f>'Wat over mat'!$AX$7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'Wat over mat'!$BB$3:$BJ$3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mat'!$BB$7:$BJ$7</c:f>
              <c:numCache>
                <c:formatCode>0.00</c:formatCode>
                <c:ptCount val="9"/>
                <c:pt idx="0" formatCode="0.0">
                  <c:v>7.2700000000000005</c:v>
                </c:pt>
                <c:pt idx="1">
                  <c:v>0.72</c:v>
                </c:pt>
                <c:pt idx="2">
                  <c:v>0</c:v>
                </c:pt>
                <c:pt idx="3">
                  <c:v>0.15</c:v>
                </c:pt>
                <c:pt idx="4">
                  <c:v>0.56999999999999995</c:v>
                </c:pt>
                <c:pt idx="5">
                  <c:v>0.31</c:v>
                </c:pt>
                <c:pt idx="6">
                  <c:v>0.56000000000000005</c:v>
                </c:pt>
                <c:pt idx="7">
                  <c:v>4.7E-2</c:v>
                </c:pt>
                <c:pt idx="8">
                  <c:v>5.2999999999999999E-2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74-41DC-8689-E57240B3B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3"/>
        <c:majorTimeUnit val="months"/>
        <c:minorUnit val="2"/>
        <c:minorTimeUnit val="months"/>
      </c:dateAx>
      <c:valAx>
        <c:axId val="697961896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Naftaleen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'Wat over mat'!$BV$4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'Wat over mat'!$BZ$3:$CH$3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mat'!$BZ$4:$CH$4</c:f>
              <c:numCache>
                <c:formatCode>0.0</c:formatCode>
                <c:ptCount val="9"/>
                <c:pt idx="0">
                  <c:v>34.345999999999997</c:v>
                </c:pt>
                <c:pt idx="1">
                  <c:v>1</c:v>
                </c:pt>
                <c:pt idx="2">
                  <c:v>1</c:v>
                </c:pt>
                <c:pt idx="3">
                  <c:v>0.28000000000000003</c:v>
                </c:pt>
                <c:pt idx="4">
                  <c:v>0.81</c:v>
                </c:pt>
                <c:pt idx="5">
                  <c:v>0</c:v>
                </c:pt>
                <c:pt idx="6">
                  <c:v>0.12</c:v>
                </c:pt>
                <c:pt idx="7" formatCode="0.000">
                  <c:v>4.5999999999999999E-2</c:v>
                </c:pt>
                <c:pt idx="8">
                  <c:v>3.3000000000000002E-2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0-47D4-8AAF-6C2761F50215}"/>
            </c:ext>
          </c:extLst>
        </c:ser>
        <c:ser>
          <c:idx val="1"/>
          <c:order val="1"/>
          <c:tx>
            <c:strRef>
              <c:f>'Wat over mat'!$BV$5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'Wat over mat'!$BZ$3:$CH$3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mat'!$BZ$5:$CH$5</c:f>
              <c:numCache>
                <c:formatCode>0.0</c:formatCode>
                <c:ptCount val="9"/>
                <c:pt idx="0">
                  <c:v>40.014666666666663</c:v>
                </c:pt>
                <c:pt idx="1">
                  <c:v>11</c:v>
                </c:pt>
                <c:pt idx="2">
                  <c:v>0</c:v>
                </c:pt>
                <c:pt idx="3">
                  <c:v>3.2</c:v>
                </c:pt>
                <c:pt idx="4">
                  <c:v>33</c:v>
                </c:pt>
                <c:pt idx="5">
                  <c:v>6.8</c:v>
                </c:pt>
                <c:pt idx="6">
                  <c:v>6.6</c:v>
                </c:pt>
                <c:pt idx="7" formatCode="0.000">
                  <c:v>0.04</c:v>
                </c:pt>
                <c:pt idx="8">
                  <c:v>0.41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40-47D4-8AAF-6C2761F50215}"/>
            </c:ext>
          </c:extLst>
        </c:ser>
        <c:ser>
          <c:idx val="2"/>
          <c:order val="2"/>
          <c:tx>
            <c:strRef>
              <c:f>'Wat over mat'!$BV$6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'Wat over mat'!$BZ$3:$CH$3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mat'!$BZ$6:$CH$6</c:f>
              <c:numCache>
                <c:formatCode>0.0</c:formatCode>
                <c:ptCount val="9"/>
                <c:pt idx="0">
                  <c:v>35.676333333333332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8.5</c:v>
                </c:pt>
                <c:pt idx="5">
                  <c:v>10</c:v>
                </c:pt>
                <c:pt idx="6">
                  <c:v>1.9</c:v>
                </c:pt>
                <c:pt idx="7" formatCode="0.000">
                  <c:v>3.6999999999999998E-2</c:v>
                </c:pt>
                <c:pt idx="8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40-47D4-8AAF-6C2761F50215}"/>
            </c:ext>
          </c:extLst>
        </c:ser>
        <c:ser>
          <c:idx val="3"/>
          <c:order val="3"/>
          <c:tx>
            <c:strRef>
              <c:f>'Wat over mat'!$BV$7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'Wat over mat'!$BZ$3:$CH$3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mat'!$BZ$7:$CH$7</c:f>
              <c:numCache>
                <c:formatCode>0.0</c:formatCode>
                <c:ptCount val="9"/>
                <c:pt idx="0">
                  <c:v>35.015666666666668</c:v>
                </c:pt>
                <c:pt idx="1">
                  <c:v>6.1</c:v>
                </c:pt>
                <c:pt idx="2">
                  <c:v>0</c:v>
                </c:pt>
                <c:pt idx="3">
                  <c:v>0</c:v>
                </c:pt>
                <c:pt idx="4">
                  <c:v>3.3</c:v>
                </c:pt>
                <c:pt idx="5">
                  <c:v>9.6</c:v>
                </c:pt>
                <c:pt idx="6">
                  <c:v>8.4</c:v>
                </c:pt>
                <c:pt idx="7" formatCode="0.000">
                  <c:v>2.3E-2</c:v>
                </c:pt>
                <c:pt idx="8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40-47D4-8AAF-6C2761F50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3"/>
        <c:majorTimeUnit val="months"/>
        <c:minorUnit val="2"/>
        <c:minorTimeUnit val="months"/>
      </c:dateAx>
      <c:valAx>
        <c:axId val="697961896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Benzeen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'Wat over mat'!$B$31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'Wat over mat'!$F$30:$N$30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mat'!$F$31:$N$31</c:f>
              <c:numCache>
                <c:formatCode>General</c:formatCode>
                <c:ptCount val="9"/>
                <c:pt idx="0" formatCode="0">
                  <c:v>145.33333333333334</c:v>
                </c:pt>
                <c:pt idx="1">
                  <c:v>11</c:v>
                </c:pt>
                <c:pt idx="2">
                  <c:v>7.6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190</c:v>
                </c:pt>
                <c:pt idx="7">
                  <c:v>320</c:v>
                </c:pt>
                <c:pt idx="8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4-426D-B571-FC90ACFD3C4E}"/>
            </c:ext>
          </c:extLst>
        </c:ser>
        <c:ser>
          <c:idx val="1"/>
          <c:order val="1"/>
          <c:tx>
            <c:strRef>
              <c:f>'Wat over mat'!$B$32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'Wat over mat'!$F$30:$N$30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mat'!$F$32:$N$32</c:f>
              <c:numCache>
                <c:formatCode>General</c:formatCode>
                <c:ptCount val="9"/>
                <c:pt idx="0" formatCode="0">
                  <c:v>165.33333333333334</c:v>
                </c:pt>
                <c:pt idx="1">
                  <c:v>39</c:v>
                </c:pt>
                <c:pt idx="2">
                  <c:v>33</c:v>
                </c:pt>
                <c:pt idx="3">
                  <c:v>3.9</c:v>
                </c:pt>
                <c:pt idx="4">
                  <c:v>76</c:v>
                </c:pt>
                <c:pt idx="5">
                  <c:v>33</c:v>
                </c:pt>
                <c:pt idx="6">
                  <c:v>35</c:v>
                </c:pt>
                <c:pt idx="7">
                  <c:v>330</c:v>
                </c:pt>
                <c:pt idx="8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D4-426D-B571-FC90ACFD3C4E}"/>
            </c:ext>
          </c:extLst>
        </c:ser>
        <c:ser>
          <c:idx val="2"/>
          <c:order val="2"/>
          <c:tx>
            <c:strRef>
              <c:f>'Wat over mat'!$B$33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'Wat over mat'!$F$30:$N$30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mat'!$F$33:$N$33</c:f>
              <c:numCache>
                <c:formatCode>General</c:formatCode>
                <c:ptCount val="9"/>
                <c:pt idx="0" formatCode="0.0">
                  <c:v>80.666666666666671</c:v>
                </c:pt>
                <c:pt idx="1">
                  <c:v>0</c:v>
                </c:pt>
                <c:pt idx="2">
                  <c:v>31</c:v>
                </c:pt>
                <c:pt idx="3">
                  <c:v>53</c:v>
                </c:pt>
                <c:pt idx="4">
                  <c:v>62</c:v>
                </c:pt>
                <c:pt idx="5">
                  <c:v>20</c:v>
                </c:pt>
                <c:pt idx="6">
                  <c:v>43</c:v>
                </c:pt>
                <c:pt idx="7">
                  <c:v>33</c:v>
                </c:pt>
                <c:pt idx="8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D4-426D-B571-FC90ACFD3C4E}"/>
            </c:ext>
          </c:extLst>
        </c:ser>
        <c:ser>
          <c:idx val="3"/>
          <c:order val="3"/>
          <c:tx>
            <c:strRef>
              <c:f>'Wat over mat'!$B$34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'Wat over mat'!$F$30:$N$30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mat'!$F$34:$N$34</c:f>
              <c:numCache>
                <c:formatCode>General</c:formatCode>
                <c:ptCount val="9"/>
                <c:pt idx="0" formatCode="0.0">
                  <c:v>58.333333333333336</c:v>
                </c:pt>
                <c:pt idx="1">
                  <c:v>41</c:v>
                </c:pt>
                <c:pt idx="2">
                  <c:v>27</c:v>
                </c:pt>
                <c:pt idx="3">
                  <c:v>55</c:v>
                </c:pt>
                <c:pt idx="4">
                  <c:v>35</c:v>
                </c:pt>
                <c:pt idx="5">
                  <c:v>19</c:v>
                </c:pt>
                <c:pt idx="6">
                  <c:v>28</c:v>
                </c:pt>
                <c:pt idx="7">
                  <c:v>48</c:v>
                </c:pt>
                <c:pt idx="8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D4-426D-B571-FC90ACFD3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3"/>
        <c:majorTimeUnit val="months"/>
        <c:minorUnit val="2"/>
        <c:minorTimeUnit val="months"/>
      </c:dateAx>
      <c:valAx>
        <c:axId val="69796189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Xylenen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'Wat over mat'!$Z$31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'Wat over mat'!$AD$30:$AL$30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mat'!$AD$31:$AL$31</c:f>
              <c:numCache>
                <c:formatCode>General</c:formatCode>
                <c:ptCount val="9"/>
                <c:pt idx="0" formatCode="0.0">
                  <c:v>25.333333333333332</c:v>
                </c:pt>
                <c:pt idx="1">
                  <c:v>1.4</c:v>
                </c:pt>
                <c:pt idx="2">
                  <c:v>0.77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</c:v>
                </c:pt>
                <c:pt idx="7">
                  <c:v>35</c:v>
                </c:pt>
                <c:pt idx="8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37-469C-A77B-C32728F646A3}"/>
            </c:ext>
          </c:extLst>
        </c:ser>
        <c:ser>
          <c:idx val="1"/>
          <c:order val="1"/>
          <c:tx>
            <c:strRef>
              <c:f>'Wat over mat'!$Z$32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'Wat over mat'!$AD$30:$AL$30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mat'!$AD$32:$AL$32</c:f>
              <c:numCache>
                <c:formatCode>General</c:formatCode>
                <c:ptCount val="9"/>
                <c:pt idx="0" formatCode="0.0">
                  <c:v>35</c:v>
                </c:pt>
                <c:pt idx="1">
                  <c:v>5.2</c:v>
                </c:pt>
                <c:pt idx="2">
                  <c:v>4.0999999999999996</c:v>
                </c:pt>
                <c:pt idx="3">
                  <c:v>1.5</c:v>
                </c:pt>
                <c:pt idx="4">
                  <c:v>12</c:v>
                </c:pt>
                <c:pt idx="5">
                  <c:v>4</c:v>
                </c:pt>
                <c:pt idx="6">
                  <c:v>11</c:v>
                </c:pt>
                <c:pt idx="7">
                  <c:v>37</c:v>
                </c:pt>
                <c:pt idx="8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37-469C-A77B-C32728F646A3}"/>
            </c:ext>
          </c:extLst>
        </c:ser>
        <c:ser>
          <c:idx val="2"/>
          <c:order val="2"/>
          <c:tx>
            <c:strRef>
              <c:f>'Wat over mat'!$Z$33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'Wat over mat'!$AD$30:$AL$30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mat'!$AD$33:$AL$33</c:f>
              <c:numCache>
                <c:formatCode>General</c:formatCode>
                <c:ptCount val="9"/>
                <c:pt idx="0" formatCode="0.0">
                  <c:v>21.666666666666668</c:v>
                </c:pt>
                <c:pt idx="1">
                  <c:v>5.0999999999999996</c:v>
                </c:pt>
                <c:pt idx="2">
                  <c:v>3.8</c:v>
                </c:pt>
                <c:pt idx="3">
                  <c:v>11</c:v>
                </c:pt>
                <c:pt idx="4">
                  <c:v>9.4</c:v>
                </c:pt>
                <c:pt idx="5">
                  <c:v>2.8</c:v>
                </c:pt>
                <c:pt idx="6">
                  <c:v>5.5</c:v>
                </c:pt>
                <c:pt idx="7">
                  <c:v>3.9</c:v>
                </c:pt>
                <c:pt idx="8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37-469C-A77B-C32728F646A3}"/>
            </c:ext>
          </c:extLst>
        </c:ser>
        <c:ser>
          <c:idx val="3"/>
          <c:order val="3"/>
          <c:tx>
            <c:strRef>
              <c:f>'Wat over mat'!$Z$34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'Wat over mat'!$AD$30:$AL$30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mat'!$AD$34:$AL$34</c:f>
              <c:numCache>
                <c:formatCode>General</c:formatCode>
                <c:ptCount val="9"/>
                <c:pt idx="0" formatCode="0.0">
                  <c:v>15.333333333333334</c:v>
                </c:pt>
                <c:pt idx="1">
                  <c:v>5.7</c:v>
                </c:pt>
                <c:pt idx="2">
                  <c:v>3.6</c:v>
                </c:pt>
                <c:pt idx="3">
                  <c:v>12</c:v>
                </c:pt>
                <c:pt idx="4">
                  <c:v>6.1</c:v>
                </c:pt>
                <c:pt idx="5">
                  <c:v>2.9</c:v>
                </c:pt>
                <c:pt idx="6">
                  <c:v>8.6</c:v>
                </c:pt>
                <c:pt idx="7">
                  <c:v>5.7</c:v>
                </c:pt>
                <c:pt idx="8">
                  <c:v>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37-469C-A77B-C32728F64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3"/>
        <c:majorTimeUnit val="months"/>
        <c:minorUnit val="2"/>
        <c:minorTimeUnit val="months"/>
      </c:dateAx>
      <c:valAx>
        <c:axId val="697961896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C5-C10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'Wat over mat'!$AX$31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'Wat over mat'!$BB$30:$BJ$30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mat'!$BB$31:$BJ$31</c:f>
              <c:numCache>
                <c:formatCode>General</c:formatCode>
                <c:ptCount val="9"/>
                <c:pt idx="0" formatCode="0">
                  <c:v>230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280</c:v>
                </c:pt>
                <c:pt idx="7">
                  <c:v>460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50-4FA0-97BD-710759F8D8DE}"/>
            </c:ext>
          </c:extLst>
        </c:ser>
        <c:ser>
          <c:idx val="1"/>
          <c:order val="1"/>
          <c:tx>
            <c:strRef>
              <c:f>'Wat over mat'!$AX$32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'Wat over mat'!$BB$30:$BJ$30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mat'!$BB$32:$BJ$32</c:f>
              <c:numCache>
                <c:formatCode>General</c:formatCode>
                <c:ptCount val="9"/>
                <c:pt idx="0" formatCode="0">
                  <c:v>266.66666666666669</c:v>
                </c:pt>
                <c:pt idx="1">
                  <c:v>44</c:v>
                </c:pt>
                <c:pt idx="2">
                  <c:v>39</c:v>
                </c:pt>
                <c:pt idx="3">
                  <c:v>0</c:v>
                </c:pt>
                <c:pt idx="4">
                  <c:v>110</c:v>
                </c:pt>
                <c:pt idx="5">
                  <c:v>51</c:v>
                </c:pt>
                <c:pt idx="6">
                  <c:v>0</c:v>
                </c:pt>
                <c:pt idx="7">
                  <c:v>480</c:v>
                </c:pt>
                <c:pt idx="8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50-4FA0-97BD-710759F8D8DE}"/>
            </c:ext>
          </c:extLst>
        </c:ser>
        <c:ser>
          <c:idx val="2"/>
          <c:order val="2"/>
          <c:tx>
            <c:strRef>
              <c:f>'Wat over mat'!$AX$33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'Wat over mat'!$BB$30:$BJ$30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mat'!$BB$33:$BJ$33</c:f>
              <c:numCache>
                <c:formatCode>General</c:formatCode>
                <c:ptCount val="9"/>
                <c:pt idx="0" formatCode="0">
                  <c:v>140</c:v>
                </c:pt>
                <c:pt idx="1">
                  <c:v>43</c:v>
                </c:pt>
                <c:pt idx="2">
                  <c:v>37</c:v>
                </c:pt>
                <c:pt idx="3">
                  <c:v>60</c:v>
                </c:pt>
                <c:pt idx="4">
                  <c:v>90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50-4FA0-97BD-710759F8D8DE}"/>
            </c:ext>
          </c:extLst>
        </c:ser>
        <c:ser>
          <c:idx val="3"/>
          <c:order val="3"/>
          <c:tx>
            <c:strRef>
              <c:f>'Wat over mat'!$AX$34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'Wat over mat'!$BB$30:$BJ$30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mat'!$BB$34:$BJ$34</c:f>
              <c:numCache>
                <c:formatCode>General</c:formatCode>
                <c:ptCount val="9"/>
                <c:pt idx="0" formatCode="0">
                  <c:v>104</c:v>
                </c:pt>
                <c:pt idx="1">
                  <c:v>49</c:v>
                </c:pt>
                <c:pt idx="2">
                  <c:v>32</c:v>
                </c:pt>
                <c:pt idx="3">
                  <c:v>86</c:v>
                </c:pt>
                <c:pt idx="4">
                  <c:v>40</c:v>
                </c:pt>
                <c:pt idx="5">
                  <c:v>0</c:v>
                </c:pt>
                <c:pt idx="6">
                  <c:v>95</c:v>
                </c:pt>
                <c:pt idx="7">
                  <c:v>84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50-4FA0-97BD-710759F8D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3"/>
        <c:majorTimeUnit val="months"/>
        <c:minorUnit val="2"/>
        <c:minorTimeUnit val="months"/>
      </c:dateAx>
      <c:valAx>
        <c:axId val="69796189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Antraceen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'Wat over mat'!$BV$31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'Wat over mat'!$BZ$30:$CH$30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mat'!$BZ$31:$CH$31</c:f>
              <c:numCache>
                <c:formatCode>0.000</c:formatCode>
                <c:ptCount val="9"/>
                <c:pt idx="0" formatCode="0.00">
                  <c:v>0.97333333333333327</c:v>
                </c:pt>
                <c:pt idx="1">
                  <c:v>2.1000000000000001E-2</c:v>
                </c:pt>
                <c:pt idx="2">
                  <c:v>2.5999999999999999E-2</c:v>
                </c:pt>
                <c:pt idx="3">
                  <c:v>2.5000000000000001E-2</c:v>
                </c:pt>
                <c:pt idx="4">
                  <c:v>0.15</c:v>
                </c:pt>
                <c:pt idx="5">
                  <c:v>0</c:v>
                </c:pt>
                <c:pt idx="6">
                  <c:v>6.3E-2</c:v>
                </c:pt>
                <c:pt idx="7">
                  <c:v>0.18</c:v>
                </c:pt>
                <c:pt idx="8">
                  <c:v>2.3E-2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54-4F67-A96E-CC02F6FF6C91}"/>
            </c:ext>
          </c:extLst>
        </c:ser>
        <c:ser>
          <c:idx val="1"/>
          <c:order val="1"/>
          <c:tx>
            <c:strRef>
              <c:f>'Wat over mat'!$BV$32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'Wat over mat'!$BZ$30:$CH$30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mat'!$BZ$32:$CH$32</c:f>
              <c:numCache>
                <c:formatCode>0.000</c:formatCode>
                <c:ptCount val="9"/>
                <c:pt idx="0" formatCode="0.00">
                  <c:v>0.87666666666666659</c:v>
                </c:pt>
                <c:pt idx="1">
                  <c:v>9.5000000000000001E-2</c:v>
                </c:pt>
                <c:pt idx="2">
                  <c:v>1.4E-2</c:v>
                </c:pt>
                <c:pt idx="3">
                  <c:v>3.3000000000000002E-2</c:v>
                </c:pt>
                <c:pt idx="4">
                  <c:v>0.4</c:v>
                </c:pt>
                <c:pt idx="5">
                  <c:v>0</c:v>
                </c:pt>
                <c:pt idx="6">
                  <c:v>0.1</c:v>
                </c:pt>
                <c:pt idx="7">
                  <c:v>0.16</c:v>
                </c:pt>
                <c:pt idx="8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54-4F67-A96E-CC02F6FF6C91}"/>
            </c:ext>
          </c:extLst>
        </c:ser>
        <c:ser>
          <c:idx val="2"/>
          <c:order val="2"/>
          <c:tx>
            <c:strRef>
              <c:f>'Wat over mat'!$BV$33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'Wat over mat'!$BZ$30:$CH$30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mat'!$BZ$33:$CH$33</c:f>
              <c:numCache>
                <c:formatCode>0.00</c:formatCode>
                <c:ptCount val="9"/>
                <c:pt idx="0">
                  <c:v>0.76333333333333331</c:v>
                </c:pt>
                <c:pt idx="1">
                  <c:v>0.13</c:v>
                </c:pt>
                <c:pt idx="2" formatCode="0.000">
                  <c:v>6.6000000000000003E-2</c:v>
                </c:pt>
                <c:pt idx="3" formatCode="0.000">
                  <c:v>2.9000000000000001E-2</c:v>
                </c:pt>
                <c:pt idx="4" formatCode="0.000">
                  <c:v>0.32</c:v>
                </c:pt>
                <c:pt idx="5" formatCode="0.000">
                  <c:v>6.2E-2</c:v>
                </c:pt>
                <c:pt idx="6" formatCode="0.000">
                  <c:v>0.11</c:v>
                </c:pt>
                <c:pt idx="7" formatCode="0.000">
                  <c:v>0.14000000000000001</c:v>
                </c:pt>
                <c:pt idx="8" formatCode="0.000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54-4F67-A96E-CC02F6FF6C91}"/>
            </c:ext>
          </c:extLst>
        </c:ser>
        <c:ser>
          <c:idx val="3"/>
          <c:order val="3"/>
          <c:tx>
            <c:strRef>
              <c:f>'Wat over mat'!$BV$34</c:f>
              <c:strCache>
                <c:ptCount val="1"/>
                <c:pt idx="0">
                  <c:v>207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'Wat over mat'!$BZ$30:$CH$30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mat'!$BZ$34:$CH$34</c:f>
              <c:numCache>
                <c:formatCode>0.00</c:formatCode>
                <c:ptCount val="9"/>
                <c:pt idx="0">
                  <c:v>1.0333333333333334</c:v>
                </c:pt>
                <c:pt idx="1">
                  <c:v>0.17</c:v>
                </c:pt>
                <c:pt idx="2" formatCode="0.000">
                  <c:v>1.4E-2</c:v>
                </c:pt>
                <c:pt idx="3" formatCode="0.000">
                  <c:v>4.4999999999999998E-2</c:v>
                </c:pt>
                <c:pt idx="4" formatCode="0.000">
                  <c:v>0.27</c:v>
                </c:pt>
                <c:pt idx="5" formatCode="0.000">
                  <c:v>7.4999999999999997E-2</c:v>
                </c:pt>
                <c:pt idx="6" formatCode="0.000">
                  <c:v>8.5000000000000006E-2</c:v>
                </c:pt>
                <c:pt idx="7" formatCode="0.000">
                  <c:v>7.1999999999999995E-2</c:v>
                </c:pt>
                <c:pt idx="8" formatCode="0.000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6D-4595-B029-E916FC73D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3"/>
        <c:majorTimeUnit val="months"/>
        <c:minorUnit val="2"/>
        <c:minorTimeUnit val="months"/>
      </c:dateAx>
      <c:valAx>
        <c:axId val="69796189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Pyreen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'Wat over mat'!$Z$4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'Wat over mat'!$AD$3:$AL$3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mat'!$AD$4:$AL$4</c:f>
              <c:numCache>
                <c:formatCode>0.00</c:formatCode>
                <c:ptCount val="9"/>
                <c:pt idx="0" formatCode="0.0">
                  <c:v>1.8266666666666669</c:v>
                </c:pt>
                <c:pt idx="1">
                  <c:v>5.8999999999999997E-2</c:v>
                </c:pt>
                <c:pt idx="2">
                  <c:v>6.3E-2</c:v>
                </c:pt>
                <c:pt idx="3">
                  <c:v>4.7E-2</c:v>
                </c:pt>
                <c:pt idx="4">
                  <c:v>0.16</c:v>
                </c:pt>
                <c:pt idx="5">
                  <c:v>1.7000000000000001E-2</c:v>
                </c:pt>
                <c:pt idx="6">
                  <c:v>0.13</c:v>
                </c:pt>
                <c:pt idx="7">
                  <c:v>1.1000000000000001</c:v>
                </c:pt>
                <c:pt idx="8">
                  <c:v>4.1000000000000002E-2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72-45F7-834B-1B81F55F5DB5}"/>
            </c:ext>
          </c:extLst>
        </c:ser>
        <c:ser>
          <c:idx val="1"/>
          <c:order val="1"/>
          <c:tx>
            <c:strRef>
              <c:f>'Wat over mat'!$Z$5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'Wat over mat'!$AD$3:$AL$3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mat'!$AD$5:$AL$5</c:f>
              <c:numCache>
                <c:formatCode>0.00</c:formatCode>
                <c:ptCount val="9"/>
                <c:pt idx="0" formatCode="0.0">
                  <c:v>2.3000000000000003</c:v>
                </c:pt>
                <c:pt idx="1">
                  <c:v>8.4000000000000005E-2</c:v>
                </c:pt>
                <c:pt idx="2">
                  <c:v>0.12</c:v>
                </c:pt>
                <c:pt idx="3">
                  <c:v>5.7000000000000002E-2</c:v>
                </c:pt>
                <c:pt idx="4">
                  <c:v>0.38</c:v>
                </c:pt>
                <c:pt idx="5">
                  <c:v>0</c:v>
                </c:pt>
                <c:pt idx="6">
                  <c:v>0.14000000000000001</c:v>
                </c:pt>
                <c:pt idx="7">
                  <c:v>0.89</c:v>
                </c:pt>
                <c:pt idx="8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72-45F7-834B-1B81F55F5DB5}"/>
            </c:ext>
          </c:extLst>
        </c:ser>
        <c:ser>
          <c:idx val="2"/>
          <c:order val="2"/>
          <c:tx>
            <c:strRef>
              <c:f>'Wat over mat'!$Z$6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'Wat over mat'!$AD$3:$AL$3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mat'!$AD$6:$AL$6</c:f>
              <c:numCache>
                <c:formatCode>0.00</c:formatCode>
                <c:ptCount val="9"/>
                <c:pt idx="0" formatCode="0.0">
                  <c:v>2.0133333333333332</c:v>
                </c:pt>
                <c:pt idx="1">
                  <c:v>0.11</c:v>
                </c:pt>
                <c:pt idx="2">
                  <c:v>6.8000000000000005E-2</c:v>
                </c:pt>
                <c:pt idx="3">
                  <c:v>8.3000000000000004E-2</c:v>
                </c:pt>
                <c:pt idx="4">
                  <c:v>0.34</c:v>
                </c:pt>
                <c:pt idx="5">
                  <c:v>7.0999999999999994E-2</c:v>
                </c:pt>
                <c:pt idx="6">
                  <c:v>0.53</c:v>
                </c:pt>
                <c:pt idx="7">
                  <c:v>0.63</c:v>
                </c:pt>
                <c:pt idx="8">
                  <c:v>8.1000000000000003E-2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72-45F7-834B-1B81F55F5DB5}"/>
            </c:ext>
          </c:extLst>
        </c:ser>
        <c:ser>
          <c:idx val="3"/>
          <c:order val="3"/>
          <c:tx>
            <c:strRef>
              <c:f>'Wat over mat'!$Z$7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'Wat over mat'!$AD$3:$AL$3</c:f>
              <c:numCache>
                <c:formatCode>m/d/yyyy</c:formatCode>
                <c:ptCount val="9"/>
                <c:pt idx="0">
                  <c:v>43925</c:v>
                </c:pt>
                <c:pt idx="1">
                  <c:v>44201</c:v>
                </c:pt>
                <c:pt idx="2">
                  <c:v>44281</c:v>
                </c:pt>
                <c:pt idx="3">
                  <c:v>44349</c:v>
                </c:pt>
                <c:pt idx="4">
                  <c:v>44466</c:v>
                </c:pt>
                <c:pt idx="5">
                  <c:v>44567</c:v>
                </c:pt>
                <c:pt idx="6">
                  <c:v>44698</c:v>
                </c:pt>
                <c:pt idx="7">
                  <c:v>44754</c:v>
                </c:pt>
                <c:pt idx="8">
                  <c:v>44860</c:v>
                </c:pt>
              </c:numCache>
            </c:numRef>
          </c:cat>
          <c:val>
            <c:numRef>
              <c:f>'Wat over mat'!$AD$7:$AL$7</c:f>
              <c:numCache>
                <c:formatCode>0.00</c:formatCode>
                <c:ptCount val="9"/>
                <c:pt idx="0" formatCode="0.0">
                  <c:v>2.6</c:v>
                </c:pt>
                <c:pt idx="1">
                  <c:v>0.18</c:v>
                </c:pt>
                <c:pt idx="2">
                  <c:v>0.26</c:v>
                </c:pt>
                <c:pt idx="3">
                  <c:v>8.7999999999999995E-2</c:v>
                </c:pt>
                <c:pt idx="4">
                  <c:v>0.37</c:v>
                </c:pt>
                <c:pt idx="5">
                  <c:v>8.8999999999999996E-2</c:v>
                </c:pt>
                <c:pt idx="6">
                  <c:v>0.15</c:v>
                </c:pt>
                <c:pt idx="7">
                  <c:v>0.35</c:v>
                </c:pt>
                <c:pt idx="8">
                  <c:v>0.18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72-45F7-834B-1B81F55F5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3"/>
        <c:majorTimeUnit val="months"/>
        <c:minorUnit val="2"/>
        <c:minorTimeUnit val="months"/>
      </c:dateAx>
      <c:valAx>
        <c:axId val="69796189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Fenolindex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'Wat over mat'!$B$58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'Wat over mat'!$C$57:$J$57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'Wat over mat'!$C$58:$J$58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1.2</c:v>
                </c:pt>
                <c:pt idx="5">
                  <c:v>13</c:v>
                </c:pt>
                <c:pt idx="6">
                  <c:v>20</c:v>
                </c:pt>
                <c:pt idx="7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5-4D7C-82E4-46A1E6F30B73}"/>
            </c:ext>
          </c:extLst>
        </c:ser>
        <c:ser>
          <c:idx val="1"/>
          <c:order val="1"/>
          <c:tx>
            <c:strRef>
              <c:f>'Wat over mat'!$B$59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'Wat over mat'!$C$57:$J$57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'Wat over mat'!$C$59:$J$59</c:f>
              <c:numCache>
                <c:formatCode>General</c:formatCode>
                <c:ptCount val="8"/>
                <c:pt idx="0">
                  <c:v>7.9</c:v>
                </c:pt>
                <c:pt idx="1">
                  <c:v>15</c:v>
                </c:pt>
                <c:pt idx="2">
                  <c:v>0</c:v>
                </c:pt>
                <c:pt idx="3">
                  <c:v>45</c:v>
                </c:pt>
                <c:pt idx="4">
                  <c:v>13</c:v>
                </c:pt>
                <c:pt idx="5">
                  <c:v>4.5</c:v>
                </c:pt>
                <c:pt idx="6">
                  <c:v>21</c:v>
                </c:pt>
                <c:pt idx="7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5-4D7C-82E4-46A1E6F30B73}"/>
            </c:ext>
          </c:extLst>
        </c:ser>
        <c:ser>
          <c:idx val="2"/>
          <c:order val="2"/>
          <c:tx>
            <c:strRef>
              <c:f>'Wat over mat'!$B$60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'Wat over mat'!$C$57:$J$57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'Wat over mat'!$C$60:$J$60</c:f>
              <c:numCache>
                <c:formatCode>General</c:formatCode>
                <c:ptCount val="8"/>
                <c:pt idx="0">
                  <c:v>12</c:v>
                </c:pt>
                <c:pt idx="1">
                  <c:v>16</c:v>
                </c:pt>
                <c:pt idx="2">
                  <c:v>6.1</c:v>
                </c:pt>
                <c:pt idx="3">
                  <c:v>42</c:v>
                </c:pt>
                <c:pt idx="4">
                  <c:v>15</c:v>
                </c:pt>
                <c:pt idx="5">
                  <c:v>13</c:v>
                </c:pt>
                <c:pt idx="6">
                  <c:v>30</c:v>
                </c:pt>
                <c:pt idx="7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35-4D7C-82E4-46A1E6F30B73}"/>
            </c:ext>
          </c:extLst>
        </c:ser>
        <c:ser>
          <c:idx val="3"/>
          <c:order val="3"/>
          <c:tx>
            <c:strRef>
              <c:f>'Wat over mat'!$B$61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'Wat over mat'!$C$57:$J$57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'Wat over mat'!$C$61:$J$61</c:f>
              <c:numCache>
                <c:formatCode>General</c:formatCode>
                <c:ptCount val="8"/>
                <c:pt idx="0">
                  <c:v>13</c:v>
                </c:pt>
                <c:pt idx="1">
                  <c:v>15</c:v>
                </c:pt>
                <c:pt idx="2">
                  <c:v>3.3</c:v>
                </c:pt>
                <c:pt idx="3">
                  <c:v>31</c:v>
                </c:pt>
                <c:pt idx="4">
                  <c:v>17</c:v>
                </c:pt>
                <c:pt idx="5">
                  <c:v>12</c:v>
                </c:pt>
                <c:pt idx="6">
                  <c:v>56</c:v>
                </c:pt>
                <c:pt idx="7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35-4D7C-82E4-46A1E6F30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2"/>
        <c:majorTimeUnit val="months"/>
        <c:minorUnit val="2"/>
        <c:minorTimeUnit val="months"/>
      </c:dateAx>
      <c:valAx>
        <c:axId val="6979618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Geleidbaarheid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'Wat over mat'!$Z$58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'Wat over mat'!$AA$57:$AH$57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'Wat over mat'!$AA$58:$AH$58</c:f>
              <c:numCache>
                <c:formatCode>General</c:formatCode>
                <c:ptCount val="8"/>
                <c:pt idx="0">
                  <c:v>613</c:v>
                </c:pt>
                <c:pt idx="1">
                  <c:v>877</c:v>
                </c:pt>
                <c:pt idx="2">
                  <c:v>886</c:v>
                </c:pt>
                <c:pt idx="3">
                  <c:v>448</c:v>
                </c:pt>
                <c:pt idx="4">
                  <c:v>858</c:v>
                </c:pt>
                <c:pt idx="5">
                  <c:v>1202</c:v>
                </c:pt>
                <c:pt idx="6">
                  <c:v>1059</c:v>
                </c:pt>
                <c:pt idx="7">
                  <c:v>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A6-4A97-97FD-3C81C4869298}"/>
            </c:ext>
          </c:extLst>
        </c:ser>
        <c:ser>
          <c:idx val="1"/>
          <c:order val="1"/>
          <c:tx>
            <c:strRef>
              <c:f>'Wat over mat'!$Z$59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'Wat over mat'!$AA$57:$AH$57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'Wat over mat'!$AA$59:$AH$59</c:f>
              <c:numCache>
                <c:formatCode>General</c:formatCode>
                <c:ptCount val="8"/>
                <c:pt idx="0">
                  <c:v>650</c:v>
                </c:pt>
                <c:pt idx="1">
                  <c:v>878</c:v>
                </c:pt>
                <c:pt idx="2">
                  <c:v>839</c:v>
                </c:pt>
                <c:pt idx="3">
                  <c:v>450</c:v>
                </c:pt>
                <c:pt idx="4">
                  <c:v>785</c:v>
                </c:pt>
                <c:pt idx="5">
                  <c:v>1221</c:v>
                </c:pt>
                <c:pt idx="6">
                  <c:v>1147</c:v>
                </c:pt>
                <c:pt idx="7">
                  <c:v>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A6-4A97-97FD-3C81C4869298}"/>
            </c:ext>
          </c:extLst>
        </c:ser>
        <c:ser>
          <c:idx val="2"/>
          <c:order val="2"/>
          <c:tx>
            <c:strRef>
              <c:f>'Wat over mat'!$Z$60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'Wat over mat'!$AA$57:$AH$57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'Wat over mat'!$AA$60:$AH$60</c:f>
              <c:numCache>
                <c:formatCode>General</c:formatCode>
                <c:ptCount val="8"/>
                <c:pt idx="0">
                  <c:v>678</c:v>
                </c:pt>
                <c:pt idx="1">
                  <c:v>881</c:v>
                </c:pt>
                <c:pt idx="2">
                  <c:v>850</c:v>
                </c:pt>
                <c:pt idx="3">
                  <c:v>457</c:v>
                </c:pt>
                <c:pt idx="4">
                  <c:v>781</c:v>
                </c:pt>
                <c:pt idx="5">
                  <c:v>1210</c:v>
                </c:pt>
                <c:pt idx="6">
                  <c:v>1014</c:v>
                </c:pt>
                <c:pt idx="7">
                  <c:v>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A6-4A97-97FD-3C81C4869298}"/>
            </c:ext>
          </c:extLst>
        </c:ser>
        <c:ser>
          <c:idx val="3"/>
          <c:order val="3"/>
          <c:tx>
            <c:strRef>
              <c:f>'Wat over mat'!$Z$61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'Wat over mat'!$AA$57:$AH$57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'Wat over mat'!$AA$61:$AH$61</c:f>
              <c:numCache>
                <c:formatCode>General</c:formatCode>
                <c:ptCount val="8"/>
                <c:pt idx="0">
                  <c:v>686</c:v>
                </c:pt>
                <c:pt idx="1">
                  <c:v>888</c:v>
                </c:pt>
                <c:pt idx="2">
                  <c:v>887</c:v>
                </c:pt>
                <c:pt idx="3">
                  <c:v>454</c:v>
                </c:pt>
                <c:pt idx="4">
                  <c:v>791</c:v>
                </c:pt>
                <c:pt idx="5">
                  <c:v>1204</c:v>
                </c:pt>
                <c:pt idx="6">
                  <c:v>1037</c:v>
                </c:pt>
                <c:pt idx="7">
                  <c:v>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A6-4A97-97FD-3C81C4869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2"/>
        <c:majorTimeUnit val="months"/>
        <c:minorUnit val="2"/>
        <c:minorTimeUnit val="months"/>
      </c:dateAx>
      <c:valAx>
        <c:axId val="697961896"/>
        <c:scaling>
          <c:orientation val="minMax"/>
          <c:max val="1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Redoxpotentiaal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'Wat over mat'!$AM$58</c:f>
              <c:strCache>
                <c:ptCount val="1"/>
                <c:pt idx="0">
                  <c:v>203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'Wat over mat'!$AN$57:$AU$57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'Wat over mat'!$AN$58:$AU$58</c:f>
              <c:numCache>
                <c:formatCode>General</c:formatCode>
                <c:ptCount val="8"/>
                <c:pt idx="0">
                  <c:v>86.2</c:v>
                </c:pt>
                <c:pt idx="1">
                  <c:v>93.4</c:v>
                </c:pt>
                <c:pt idx="2">
                  <c:v>88.4</c:v>
                </c:pt>
                <c:pt idx="3">
                  <c:v>81.3</c:v>
                </c:pt>
                <c:pt idx="4">
                  <c:v>54.6</c:v>
                </c:pt>
                <c:pt idx="5">
                  <c:v>-17.899999999999999</c:v>
                </c:pt>
                <c:pt idx="6">
                  <c:v>-125.5</c:v>
                </c:pt>
                <c:pt idx="7">
                  <c:v>-51.3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A0-4140-AEDB-05E7AC00AE8F}"/>
            </c:ext>
          </c:extLst>
        </c:ser>
        <c:ser>
          <c:idx val="1"/>
          <c:order val="1"/>
          <c:tx>
            <c:strRef>
              <c:f>'Wat over mat'!$AM$59</c:f>
              <c:strCache>
                <c:ptCount val="1"/>
                <c:pt idx="0">
                  <c:v>205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'Wat over mat'!$AN$57:$AU$57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'Wat over mat'!$AN$59:$AU$59</c:f>
              <c:numCache>
                <c:formatCode>General</c:formatCode>
                <c:ptCount val="8"/>
                <c:pt idx="0">
                  <c:v>51.2</c:v>
                </c:pt>
                <c:pt idx="1">
                  <c:v>42.6</c:v>
                </c:pt>
                <c:pt idx="2">
                  <c:v>78.7</c:v>
                </c:pt>
                <c:pt idx="3">
                  <c:v>15.4</c:v>
                </c:pt>
                <c:pt idx="4">
                  <c:v>-116.7</c:v>
                </c:pt>
                <c:pt idx="5">
                  <c:v>12.8</c:v>
                </c:pt>
                <c:pt idx="6">
                  <c:v>-112.7</c:v>
                </c:pt>
                <c:pt idx="7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A0-4140-AEDB-05E7AC00AE8F}"/>
            </c:ext>
          </c:extLst>
        </c:ser>
        <c:ser>
          <c:idx val="2"/>
          <c:order val="2"/>
          <c:tx>
            <c:strRef>
              <c:f>'Wat over mat'!$AM$60</c:f>
              <c:strCache>
                <c:ptCount val="1"/>
                <c:pt idx="0">
                  <c:v>206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'Wat over mat'!$AN$57:$AU$57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'Wat over mat'!$AN$60:$AU$60</c:f>
              <c:numCache>
                <c:formatCode>General</c:formatCode>
                <c:ptCount val="8"/>
                <c:pt idx="0">
                  <c:v>50.6</c:v>
                </c:pt>
                <c:pt idx="1">
                  <c:v>96</c:v>
                </c:pt>
                <c:pt idx="2">
                  <c:v>81.3</c:v>
                </c:pt>
                <c:pt idx="3">
                  <c:v>37.4</c:v>
                </c:pt>
                <c:pt idx="4">
                  <c:v>-3.8</c:v>
                </c:pt>
                <c:pt idx="5">
                  <c:v>-117.1</c:v>
                </c:pt>
                <c:pt idx="6">
                  <c:v>53.8</c:v>
                </c:pt>
                <c:pt idx="7">
                  <c:v>-35.299999999999997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A0-4140-AEDB-05E7AC00AE8F}"/>
            </c:ext>
          </c:extLst>
        </c:ser>
        <c:ser>
          <c:idx val="3"/>
          <c:order val="3"/>
          <c:tx>
            <c:strRef>
              <c:f>'Wat over mat'!$AM$61</c:f>
              <c:strCache>
                <c:ptCount val="1"/>
                <c:pt idx="0">
                  <c:v>207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'Wat over mat'!$AN$57:$AU$57</c:f>
              <c:numCache>
                <c:formatCode>m/d/yyyy</c:formatCode>
                <c:ptCount val="8"/>
                <c:pt idx="0">
                  <c:v>44201</c:v>
                </c:pt>
                <c:pt idx="1">
                  <c:v>44281</c:v>
                </c:pt>
                <c:pt idx="2">
                  <c:v>44349</c:v>
                </c:pt>
                <c:pt idx="3">
                  <c:v>44466</c:v>
                </c:pt>
                <c:pt idx="4">
                  <c:v>44567</c:v>
                </c:pt>
                <c:pt idx="5">
                  <c:v>44698</c:v>
                </c:pt>
                <c:pt idx="6">
                  <c:v>44754</c:v>
                </c:pt>
                <c:pt idx="7">
                  <c:v>44860</c:v>
                </c:pt>
              </c:numCache>
            </c:numRef>
          </c:cat>
          <c:val>
            <c:numRef>
              <c:f>'Wat over mat'!$AN$61:$AU$61</c:f>
              <c:numCache>
                <c:formatCode>General</c:formatCode>
                <c:ptCount val="8"/>
                <c:pt idx="0">
                  <c:v>57.2</c:v>
                </c:pt>
                <c:pt idx="1">
                  <c:v>91.6</c:v>
                </c:pt>
                <c:pt idx="2">
                  <c:v>72.900000000000006</c:v>
                </c:pt>
                <c:pt idx="3">
                  <c:v>-102</c:v>
                </c:pt>
                <c:pt idx="4">
                  <c:v>-16.2</c:v>
                </c:pt>
                <c:pt idx="5">
                  <c:v>21.4</c:v>
                </c:pt>
                <c:pt idx="6">
                  <c:v>185</c:v>
                </c:pt>
                <c:pt idx="7">
                  <c:v>-20.5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A0-4140-AEDB-05E7AC00A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At val="-200"/>
        <c:auto val="1"/>
        <c:lblOffset val="100"/>
        <c:baseTimeUnit val="months"/>
        <c:majorUnit val="2"/>
        <c:majorTimeUnit val="months"/>
        <c:minorUnit val="2"/>
        <c:minorTimeUnit val="months"/>
      </c:dateAx>
      <c:valAx>
        <c:axId val="697961896"/>
        <c:scaling>
          <c:orientation val="minMax"/>
          <c:max val="20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Acenafteen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afstand'!$A$7</c:f>
              <c:strCache>
                <c:ptCount val="1"/>
                <c:pt idx="0">
                  <c:v>04/04/2020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afstand'!$B$3:$G$3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afstand'!$B$7:$G$7</c:f>
              <c:numCache>
                <c:formatCode>0.00</c:formatCode>
                <c:ptCount val="6"/>
                <c:pt idx="0">
                  <c:v>0.3666666666666667</c:v>
                </c:pt>
                <c:pt idx="1">
                  <c:v>8.4</c:v>
                </c:pt>
                <c:pt idx="2" formatCode="0.0">
                  <c:v>11.166666666666666</c:v>
                </c:pt>
                <c:pt idx="3" formatCode="0.0">
                  <c:v>10.766666666666666</c:v>
                </c:pt>
                <c:pt idx="4" formatCode="0.0">
                  <c:v>9.4666666666666668</c:v>
                </c:pt>
                <c:pt idx="5" formatCode="0.0">
                  <c:v>7.416666666666667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7E-4F99-8F23-32187DD85BA9}"/>
            </c:ext>
          </c:extLst>
        </c:ser>
        <c:ser>
          <c:idx val="1"/>
          <c:order val="1"/>
          <c:tx>
            <c:strRef>
              <c:f>'Grafiek opp wat afstand'!$A$8</c:f>
              <c:strCache>
                <c:ptCount val="1"/>
                <c:pt idx="0">
                  <c:v>05/01/2021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afstand'!$B$3:$G$3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afstand'!$B$8:$G$8</c:f>
              <c:numCache>
                <c:formatCode>0.00</c:formatCode>
                <c:ptCount val="6"/>
                <c:pt idx="0">
                  <c:v>0.22</c:v>
                </c:pt>
                <c:pt idx="1">
                  <c:v>0.6</c:v>
                </c:pt>
                <c:pt idx="2" formatCode="0.0">
                  <c:v>1.7</c:v>
                </c:pt>
                <c:pt idx="3" formatCode="0.0">
                  <c:v>2.2000000000000002</c:v>
                </c:pt>
                <c:pt idx="4" formatCode="0.0">
                  <c:v>2.6</c:v>
                </c:pt>
                <c:pt idx="5" formatCode="0.0">
                  <c:v>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7E-4F99-8F23-32187DD85BA9}"/>
            </c:ext>
          </c:extLst>
        </c:ser>
        <c:ser>
          <c:idx val="2"/>
          <c:order val="2"/>
          <c:tx>
            <c:strRef>
              <c:f>'Grafiek opp wat afstand'!$A$9</c:f>
              <c:strCache>
                <c:ptCount val="1"/>
                <c:pt idx="0">
                  <c:v>26/03/2021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afstand'!$B$3:$G$3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afstand'!$B$9:$G$9</c:f>
              <c:numCache>
                <c:formatCode>0.00</c:formatCode>
                <c:ptCount val="6"/>
                <c:pt idx="0">
                  <c:v>0.34</c:v>
                </c:pt>
                <c:pt idx="1">
                  <c:v>0.92</c:v>
                </c:pt>
                <c:pt idx="2" formatCode="0.0">
                  <c:v>1.1000000000000001</c:v>
                </c:pt>
                <c:pt idx="3" formatCode="0.0">
                  <c:v>0</c:v>
                </c:pt>
                <c:pt idx="4" formatCode="0.0">
                  <c:v>0.59</c:v>
                </c:pt>
                <c:pt idx="5" formatCode="0.0">
                  <c:v>6.4000000000000001E-2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7E-4F99-8F23-32187DD85BA9}"/>
            </c:ext>
          </c:extLst>
        </c:ser>
        <c:ser>
          <c:idx val="3"/>
          <c:order val="3"/>
          <c:tx>
            <c:strRef>
              <c:f>'Grafiek opp wat afstand'!$A$10</c:f>
              <c:strCache>
                <c:ptCount val="1"/>
                <c:pt idx="0">
                  <c:v>02/06/2021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afstand'!$B$3:$G$3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afstand'!$B$10:$G$10</c:f>
              <c:numCache>
                <c:formatCode>0.00</c:formatCode>
                <c:ptCount val="6"/>
                <c:pt idx="0">
                  <c:v>0.41</c:v>
                </c:pt>
                <c:pt idx="1">
                  <c:v>0.73</c:v>
                </c:pt>
                <c:pt idx="2" formatCode="0.0">
                  <c:v>0.85</c:v>
                </c:pt>
                <c:pt idx="3" formatCode="0.0">
                  <c:v>1.5</c:v>
                </c:pt>
                <c:pt idx="4" formatCode="0.0">
                  <c:v>2.1</c:v>
                </c:pt>
                <c:pt idx="5" formatCode="0.0">
                  <c:v>4.9000000000000002E-2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7E-4F99-8F23-32187DD85BA9}"/>
            </c:ext>
          </c:extLst>
        </c:ser>
        <c:ser>
          <c:idx val="4"/>
          <c:order val="4"/>
          <c:tx>
            <c:strRef>
              <c:f>'Grafiek opp wat afstand'!$A$11</c:f>
              <c:strCache>
                <c:ptCount val="1"/>
                <c:pt idx="0">
                  <c:v>27/09/2021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afstand'!$B$3:$G$3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afstand'!$B$11:$G$11</c:f>
              <c:numCache>
                <c:formatCode>0.00</c:formatCode>
                <c:ptCount val="6"/>
                <c:pt idx="0">
                  <c:v>0.44</c:v>
                </c:pt>
                <c:pt idx="1">
                  <c:v>1.7</c:v>
                </c:pt>
                <c:pt idx="2" formatCode="0.0">
                  <c:v>5.7</c:v>
                </c:pt>
                <c:pt idx="3" formatCode="0.0">
                  <c:v>4.5999999999999996</c:v>
                </c:pt>
                <c:pt idx="4" formatCode="0.0">
                  <c:v>4.0999999999999996</c:v>
                </c:pt>
                <c:pt idx="5" formatCode="0.0">
                  <c:v>0.81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7D-43E1-9D73-8330BC8B9B68}"/>
            </c:ext>
          </c:extLst>
        </c:ser>
        <c:ser>
          <c:idx val="5"/>
          <c:order val="5"/>
          <c:tx>
            <c:strRef>
              <c:f>'Grafiek opp wat afstand'!$A$12</c:f>
              <c:strCache>
                <c:ptCount val="1"/>
                <c:pt idx="0">
                  <c:v>06/01/2022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afstand'!$B$3:$G$3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afstand'!$B$12:$G$12</c:f>
              <c:numCache>
                <c:formatCode>0.00</c:formatCode>
                <c:ptCount val="6"/>
                <c:pt idx="0">
                  <c:v>0.23</c:v>
                </c:pt>
                <c:pt idx="1">
                  <c:v>0.19</c:v>
                </c:pt>
                <c:pt idx="2" formatCode="0.0">
                  <c:v>0.54</c:v>
                </c:pt>
                <c:pt idx="3" formatCode="0.0">
                  <c:v>1.6</c:v>
                </c:pt>
                <c:pt idx="4" formatCode="0.0">
                  <c:v>0.6</c:v>
                </c:pt>
                <c:pt idx="5" formatCode="0.0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48-4124-9139-A5C3B71BFCF8}"/>
            </c:ext>
          </c:extLst>
        </c:ser>
        <c:ser>
          <c:idx val="6"/>
          <c:order val="6"/>
          <c:tx>
            <c:strRef>
              <c:f>'Grafiek opp wat afstand'!$A$13</c:f>
              <c:strCache>
                <c:ptCount val="1"/>
                <c:pt idx="0">
                  <c:v>17/05/2022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afstand'!$B$3:$G$3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afstand'!$B$13:$G$13</c:f>
              <c:numCache>
                <c:formatCode>0.00</c:formatCode>
                <c:ptCount val="6"/>
                <c:pt idx="0">
                  <c:v>0.28999999999999998</c:v>
                </c:pt>
                <c:pt idx="1">
                  <c:v>3.3</c:v>
                </c:pt>
                <c:pt idx="2" formatCode="0.0">
                  <c:v>2.6</c:v>
                </c:pt>
                <c:pt idx="3" formatCode="0.0">
                  <c:v>3.3</c:v>
                </c:pt>
                <c:pt idx="4" formatCode="0.0">
                  <c:v>2.5</c:v>
                </c:pt>
                <c:pt idx="5" formatCode="0.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AE-4977-ACCC-E1B436BCD47A}"/>
            </c:ext>
          </c:extLst>
        </c:ser>
        <c:ser>
          <c:idx val="7"/>
          <c:order val="7"/>
          <c:tx>
            <c:strRef>
              <c:f>'Grafiek opp wat afstand'!$A$14</c:f>
              <c:strCache>
                <c:ptCount val="1"/>
                <c:pt idx="0">
                  <c:v>12/07/2022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afstand'!$B$3:$G$3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afstand'!$B$14:$G$14</c:f>
              <c:numCache>
                <c:formatCode>0.00</c:formatCode>
                <c:ptCount val="6"/>
                <c:pt idx="0">
                  <c:v>0.26</c:v>
                </c:pt>
                <c:pt idx="1">
                  <c:v>6.5</c:v>
                </c:pt>
                <c:pt idx="2" formatCode="0.0">
                  <c:v>7</c:v>
                </c:pt>
                <c:pt idx="3" formatCode="0.0">
                  <c:v>4.9000000000000004</c:v>
                </c:pt>
                <c:pt idx="4" formatCode="0.0">
                  <c:v>4</c:v>
                </c:pt>
                <c:pt idx="5" formatCode="0.0">
                  <c:v>0.73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A-4308-BBA9-A08653CC2161}"/>
            </c:ext>
          </c:extLst>
        </c:ser>
        <c:ser>
          <c:idx val="8"/>
          <c:order val="8"/>
          <c:tx>
            <c:strRef>
              <c:f>'Grafiek opp wat afstand'!$A$15</c:f>
              <c:strCache>
                <c:ptCount val="1"/>
                <c:pt idx="0">
                  <c:v>26/10/2022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afstand'!$B$3:$G$3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afstand'!$B$15:$G$15</c:f>
              <c:numCache>
                <c:formatCode>0.00</c:formatCode>
                <c:ptCount val="6"/>
                <c:pt idx="0">
                  <c:v>7.3999999999999996E-2</c:v>
                </c:pt>
                <c:pt idx="1">
                  <c:v>0.35</c:v>
                </c:pt>
                <c:pt idx="2" formatCode="0.0">
                  <c:v>3.4</c:v>
                </c:pt>
                <c:pt idx="3" formatCode="0.0">
                  <c:v>0.26</c:v>
                </c:pt>
                <c:pt idx="4" formatCode="0.0">
                  <c:v>1.3</c:v>
                </c:pt>
                <c:pt idx="5" formatCode="0.0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00-49D1-AB74-1E065B7B5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1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Pyreen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afstand'!$J$7</c:f>
              <c:strCache>
                <c:ptCount val="1"/>
                <c:pt idx="0">
                  <c:v>04/04/2020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afstand'!$K$3:$P$3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afstand'!$K$7:$P$7</c:f>
              <c:numCache>
                <c:formatCode>0.0</c:formatCode>
                <c:ptCount val="6"/>
                <c:pt idx="0" formatCode="0.00">
                  <c:v>0.28566666666666668</c:v>
                </c:pt>
                <c:pt idx="1">
                  <c:v>1.8266666666666669</c:v>
                </c:pt>
                <c:pt idx="2">
                  <c:v>2.3000000000000003</c:v>
                </c:pt>
                <c:pt idx="3">
                  <c:v>2.0133333333333332</c:v>
                </c:pt>
                <c:pt idx="4">
                  <c:v>2.6</c:v>
                </c:pt>
                <c:pt idx="5">
                  <c:v>2.3899999999999997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DC-4F04-B77F-3DA23D72FC93}"/>
            </c:ext>
          </c:extLst>
        </c:ser>
        <c:ser>
          <c:idx val="1"/>
          <c:order val="1"/>
          <c:tx>
            <c:strRef>
              <c:f>'Grafiek opp wat afstand'!$J$8</c:f>
              <c:strCache>
                <c:ptCount val="1"/>
                <c:pt idx="0">
                  <c:v>05/01/2021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afstand'!$K$3:$P$3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afstand'!$K$8:$P$8</c:f>
              <c:numCache>
                <c:formatCode>0.00</c:formatCode>
                <c:ptCount val="6"/>
                <c:pt idx="0">
                  <c:v>1.9E-2</c:v>
                </c:pt>
                <c:pt idx="1">
                  <c:v>5.8999999999999997E-2</c:v>
                </c:pt>
                <c:pt idx="2" formatCode="0.0">
                  <c:v>8.4000000000000005E-2</c:v>
                </c:pt>
                <c:pt idx="3" formatCode="0.0">
                  <c:v>0.11</c:v>
                </c:pt>
                <c:pt idx="4" formatCode="0.0">
                  <c:v>0.18</c:v>
                </c:pt>
                <c:pt idx="5" formatCode="0.0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DC-4F04-B77F-3DA23D72FC93}"/>
            </c:ext>
          </c:extLst>
        </c:ser>
        <c:ser>
          <c:idx val="2"/>
          <c:order val="2"/>
          <c:tx>
            <c:strRef>
              <c:f>'Grafiek opp wat afstand'!$J$9</c:f>
              <c:strCache>
                <c:ptCount val="1"/>
                <c:pt idx="0">
                  <c:v>26/03/2021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afstand'!$K$3:$P$3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afstand'!$K$9:$P$9</c:f>
              <c:numCache>
                <c:formatCode>0.00</c:formatCode>
                <c:ptCount val="6"/>
                <c:pt idx="0">
                  <c:v>2.9000000000000001E-2</c:v>
                </c:pt>
                <c:pt idx="1">
                  <c:v>6.3E-2</c:v>
                </c:pt>
                <c:pt idx="2" formatCode="0.0">
                  <c:v>0.12</c:v>
                </c:pt>
                <c:pt idx="3" formatCode="0.0">
                  <c:v>6.8000000000000005E-2</c:v>
                </c:pt>
                <c:pt idx="4" formatCode="0.0">
                  <c:v>0.26</c:v>
                </c:pt>
                <c:pt idx="5" formatCode="0.0">
                  <c:v>0.18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DC-4F04-B77F-3DA23D72FC93}"/>
            </c:ext>
          </c:extLst>
        </c:ser>
        <c:ser>
          <c:idx val="3"/>
          <c:order val="3"/>
          <c:tx>
            <c:strRef>
              <c:f>'Grafiek opp wat afstand'!$J$10</c:f>
              <c:strCache>
                <c:ptCount val="1"/>
                <c:pt idx="0">
                  <c:v>02/06/2021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afstand'!$K$3:$P$3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afstand'!$K$10:$P$10</c:f>
              <c:numCache>
                <c:formatCode>0.00</c:formatCode>
                <c:ptCount val="6"/>
                <c:pt idx="0">
                  <c:v>2.7E-2</c:v>
                </c:pt>
                <c:pt idx="1">
                  <c:v>4.7E-2</c:v>
                </c:pt>
                <c:pt idx="2" formatCode="0.0">
                  <c:v>5.7000000000000002E-2</c:v>
                </c:pt>
                <c:pt idx="3" formatCode="0.0">
                  <c:v>8.3000000000000004E-2</c:v>
                </c:pt>
                <c:pt idx="4" formatCode="0.0">
                  <c:v>8.7999999999999995E-2</c:v>
                </c:pt>
                <c:pt idx="5" formatCode="0.0">
                  <c:v>5.8999999999999997E-2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DC-4F04-B77F-3DA23D72FC93}"/>
            </c:ext>
          </c:extLst>
        </c:ser>
        <c:ser>
          <c:idx val="4"/>
          <c:order val="4"/>
          <c:tx>
            <c:strRef>
              <c:f>'Grafiek opp wat afstand'!$J$11</c:f>
              <c:strCache>
                <c:ptCount val="1"/>
                <c:pt idx="0">
                  <c:v>27/09/2021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afstand'!$K$3:$P$3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afstand'!$K$11:$P$11</c:f>
              <c:numCache>
                <c:formatCode>0.00</c:formatCode>
                <c:ptCount val="6"/>
                <c:pt idx="0">
                  <c:v>4.7E-2</c:v>
                </c:pt>
                <c:pt idx="1">
                  <c:v>0.16</c:v>
                </c:pt>
                <c:pt idx="2" formatCode="0.0">
                  <c:v>0.38</c:v>
                </c:pt>
                <c:pt idx="3" formatCode="0.0">
                  <c:v>0.34</c:v>
                </c:pt>
                <c:pt idx="4" formatCode="0.0">
                  <c:v>0.37</c:v>
                </c:pt>
                <c:pt idx="5" formatCode="0.0">
                  <c:v>0.46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A1-4B21-A9FB-0D4B2278C8AE}"/>
            </c:ext>
          </c:extLst>
        </c:ser>
        <c:ser>
          <c:idx val="5"/>
          <c:order val="5"/>
          <c:tx>
            <c:strRef>
              <c:f>'Grafiek opp wat afstand'!$J$12</c:f>
              <c:strCache>
                <c:ptCount val="1"/>
                <c:pt idx="0">
                  <c:v>06/01/2022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afstand'!$K$3:$P$3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afstand'!$K$12:$P$12</c:f>
              <c:numCache>
                <c:formatCode>0.00</c:formatCode>
                <c:ptCount val="6"/>
                <c:pt idx="0">
                  <c:v>1.9E-2</c:v>
                </c:pt>
                <c:pt idx="1">
                  <c:v>1.7000000000000001E-2</c:v>
                </c:pt>
                <c:pt idx="2" formatCode="0.0">
                  <c:v>0</c:v>
                </c:pt>
                <c:pt idx="3" formatCode="0.0">
                  <c:v>7.0999999999999994E-2</c:v>
                </c:pt>
                <c:pt idx="4" formatCode="0.0">
                  <c:v>8.8999999999999996E-2</c:v>
                </c:pt>
                <c:pt idx="5" formatCode="0.0">
                  <c:v>0.73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07-4AEF-80FA-BC6A252BCCDB}"/>
            </c:ext>
          </c:extLst>
        </c:ser>
        <c:ser>
          <c:idx val="6"/>
          <c:order val="6"/>
          <c:tx>
            <c:strRef>
              <c:f>'Grafiek opp wat afstand'!$J$13</c:f>
              <c:strCache>
                <c:ptCount val="1"/>
                <c:pt idx="0">
                  <c:v>17/05/2022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afstand'!$K$3:$P$3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afstand'!$K$13:$P$13</c:f>
              <c:numCache>
                <c:formatCode>0.00</c:formatCode>
                <c:ptCount val="6"/>
                <c:pt idx="0">
                  <c:v>5.7000000000000002E-2</c:v>
                </c:pt>
                <c:pt idx="1">
                  <c:v>0.13</c:v>
                </c:pt>
                <c:pt idx="2" formatCode="0.0">
                  <c:v>0.14000000000000001</c:v>
                </c:pt>
                <c:pt idx="3" formatCode="0.0">
                  <c:v>0.53</c:v>
                </c:pt>
                <c:pt idx="4" formatCode="0.0">
                  <c:v>0.15</c:v>
                </c:pt>
                <c:pt idx="5" formatCode="0.0">
                  <c:v>0.93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77-47EB-BDBB-21E7423F3C24}"/>
            </c:ext>
          </c:extLst>
        </c:ser>
        <c:ser>
          <c:idx val="7"/>
          <c:order val="7"/>
          <c:tx>
            <c:strRef>
              <c:f>'Grafiek opp wat afstand'!$J$14</c:f>
              <c:strCache>
                <c:ptCount val="1"/>
                <c:pt idx="0">
                  <c:v>12/07/2022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afstand'!$K$3:$P$3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afstand'!$K$14:$P$14</c:f>
              <c:numCache>
                <c:formatCode>0.00</c:formatCode>
                <c:ptCount val="6"/>
                <c:pt idx="0">
                  <c:v>0.05</c:v>
                </c:pt>
                <c:pt idx="1">
                  <c:v>1.1000000000000001</c:v>
                </c:pt>
                <c:pt idx="2" formatCode="0.0">
                  <c:v>0.89</c:v>
                </c:pt>
                <c:pt idx="3" formatCode="0.0">
                  <c:v>0.63</c:v>
                </c:pt>
                <c:pt idx="4" formatCode="0.0">
                  <c:v>0.35</c:v>
                </c:pt>
                <c:pt idx="5" formatCode="0.0">
                  <c:v>0.33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07-4323-911F-26F4E0CFB3C3}"/>
            </c:ext>
          </c:extLst>
        </c:ser>
        <c:ser>
          <c:idx val="8"/>
          <c:order val="8"/>
          <c:tx>
            <c:strRef>
              <c:f>'Grafiek opp wat afstand'!$J$15</c:f>
              <c:strCache>
                <c:ptCount val="1"/>
                <c:pt idx="0">
                  <c:v>26/10/2022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afstand'!$K$3:$P$3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afstand'!$K$15:$P$15</c:f>
              <c:numCache>
                <c:formatCode>0.00</c:formatCode>
                <c:ptCount val="6"/>
                <c:pt idx="0">
                  <c:v>1.6E-2</c:v>
                </c:pt>
                <c:pt idx="1">
                  <c:v>4.1000000000000002E-2</c:v>
                </c:pt>
                <c:pt idx="2" formatCode="0.0">
                  <c:v>0.16</c:v>
                </c:pt>
                <c:pt idx="3" formatCode="0.0">
                  <c:v>8.1000000000000003E-2</c:v>
                </c:pt>
                <c:pt idx="4" formatCode="0.0">
                  <c:v>0.18</c:v>
                </c:pt>
                <c:pt idx="5" formatCode="0.0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D-47FD-9A52-00C958F6E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Fenanthreen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afstand'!$S$7</c:f>
              <c:strCache>
                <c:ptCount val="1"/>
                <c:pt idx="0">
                  <c:v>04/04/2020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afstand'!$T$3:$Y$3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afstand'!$T$7:$Y$7</c:f>
              <c:numCache>
                <c:formatCode>0.0</c:formatCode>
                <c:ptCount val="6"/>
                <c:pt idx="0" formatCode="0.00">
                  <c:v>0.23033333333333331</c:v>
                </c:pt>
                <c:pt idx="1">
                  <c:v>8.5</c:v>
                </c:pt>
                <c:pt idx="2">
                  <c:v>9.9</c:v>
                </c:pt>
                <c:pt idx="3">
                  <c:v>8.9499999999999993</c:v>
                </c:pt>
                <c:pt idx="4">
                  <c:v>10.9</c:v>
                </c:pt>
                <c:pt idx="5">
                  <c:v>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2C-45B4-B95A-79C162C66347}"/>
            </c:ext>
          </c:extLst>
        </c:ser>
        <c:ser>
          <c:idx val="1"/>
          <c:order val="1"/>
          <c:tx>
            <c:strRef>
              <c:f>'Grafiek opp wat afstand'!$S$8</c:f>
              <c:strCache>
                <c:ptCount val="1"/>
                <c:pt idx="0">
                  <c:v>05/01/2021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afstand'!$T$3:$Y$3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afstand'!$T$8:$Y$8</c:f>
              <c:numCache>
                <c:formatCode>0.00</c:formatCode>
                <c:ptCount val="6"/>
                <c:pt idx="0">
                  <c:v>8.5999999999999993E-2</c:v>
                </c:pt>
                <c:pt idx="1">
                  <c:v>7.2999999999999995E-2</c:v>
                </c:pt>
                <c:pt idx="2" formatCode="0.0">
                  <c:v>0.68</c:v>
                </c:pt>
                <c:pt idx="3" formatCode="0.0">
                  <c:v>0.73</c:v>
                </c:pt>
                <c:pt idx="4" formatCode="0.0">
                  <c:v>0.72</c:v>
                </c:pt>
                <c:pt idx="5" formatCode="0.0">
                  <c:v>0.33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2C-45B4-B95A-79C162C66347}"/>
            </c:ext>
          </c:extLst>
        </c:ser>
        <c:ser>
          <c:idx val="2"/>
          <c:order val="2"/>
          <c:tx>
            <c:strRef>
              <c:f>'Grafiek opp wat afstand'!$S$9</c:f>
              <c:strCache>
                <c:ptCount val="1"/>
                <c:pt idx="0">
                  <c:v>26/03/2021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afstand'!$T$3:$Y$3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afstand'!$T$9:$Y$9</c:f>
              <c:numCache>
                <c:formatCode>0.00</c:formatCode>
                <c:ptCount val="6"/>
                <c:pt idx="0">
                  <c:v>3.2000000000000001E-2</c:v>
                </c:pt>
                <c:pt idx="1">
                  <c:v>0.16</c:v>
                </c:pt>
                <c:pt idx="2">
                  <c:v>0.01</c:v>
                </c:pt>
                <c:pt idx="3">
                  <c:v>2.3E-2</c:v>
                </c:pt>
                <c:pt idx="4" formatCode="0.0">
                  <c:v>0</c:v>
                </c:pt>
                <c:pt idx="5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2C-45B4-B95A-79C162C66347}"/>
            </c:ext>
          </c:extLst>
        </c:ser>
        <c:ser>
          <c:idx val="3"/>
          <c:order val="3"/>
          <c:tx>
            <c:strRef>
              <c:f>'Grafiek opp wat afstand'!$S$10</c:f>
              <c:strCache>
                <c:ptCount val="1"/>
                <c:pt idx="0">
                  <c:v>02/06/2021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afstand'!$T$3:$Y$3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afstand'!$T$10:$Y$10</c:f>
              <c:numCache>
                <c:formatCode>0.00</c:formatCode>
                <c:ptCount val="6"/>
                <c:pt idx="0">
                  <c:v>0.05</c:v>
                </c:pt>
                <c:pt idx="1">
                  <c:v>0.11</c:v>
                </c:pt>
                <c:pt idx="2" formatCode="0.0">
                  <c:v>0.18</c:v>
                </c:pt>
                <c:pt idx="3" formatCode="0.0">
                  <c:v>8.6999999999999994E-2</c:v>
                </c:pt>
                <c:pt idx="4" formatCode="0.0">
                  <c:v>0.15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2C-45B4-B95A-79C162C66347}"/>
            </c:ext>
          </c:extLst>
        </c:ser>
        <c:ser>
          <c:idx val="4"/>
          <c:order val="4"/>
          <c:tx>
            <c:strRef>
              <c:f>'Grafiek opp wat afstand'!$S$11</c:f>
              <c:strCache>
                <c:ptCount val="1"/>
                <c:pt idx="0">
                  <c:v>27/09/2021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afstand'!$T$3:$Y$3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afstand'!$T$11:$Y$11</c:f>
              <c:numCache>
                <c:formatCode>0.00</c:formatCode>
                <c:ptCount val="6"/>
                <c:pt idx="0">
                  <c:v>5.2999999999999999E-2</c:v>
                </c:pt>
                <c:pt idx="1">
                  <c:v>0.6</c:v>
                </c:pt>
                <c:pt idx="2" formatCode="0.0">
                  <c:v>2.1</c:v>
                </c:pt>
                <c:pt idx="3" formatCode="0.0">
                  <c:v>1.3</c:v>
                </c:pt>
                <c:pt idx="4" formatCode="0.0">
                  <c:v>0.56999999999999995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2C-45B4-B95A-79C162C66347}"/>
            </c:ext>
          </c:extLst>
        </c:ser>
        <c:ser>
          <c:idx val="5"/>
          <c:order val="5"/>
          <c:tx>
            <c:strRef>
              <c:f>'Grafiek opp wat afstand'!$S$12</c:f>
              <c:strCache>
                <c:ptCount val="1"/>
                <c:pt idx="0">
                  <c:v>06/01/2022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afstand'!$T$3:$Y$3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afstand'!$T$12:$Y$12</c:f>
              <c:numCache>
                <c:formatCode>0.00</c:formatCode>
                <c:ptCount val="6"/>
                <c:pt idx="0">
                  <c:v>1.6E-2</c:v>
                </c:pt>
                <c:pt idx="1">
                  <c:v>0</c:v>
                </c:pt>
                <c:pt idx="2" formatCode="0.0">
                  <c:v>0.11</c:v>
                </c:pt>
                <c:pt idx="3" formatCode="0.0">
                  <c:v>0.3</c:v>
                </c:pt>
                <c:pt idx="4" formatCode="0.0">
                  <c:v>0.31</c:v>
                </c:pt>
                <c:pt idx="5" formatCode="0.0">
                  <c:v>0.51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7B-4F10-A6F3-8C1385C7D4F5}"/>
            </c:ext>
          </c:extLst>
        </c:ser>
        <c:ser>
          <c:idx val="6"/>
          <c:order val="6"/>
          <c:tx>
            <c:strRef>
              <c:f>'Grafiek opp wat afstand'!$S$13</c:f>
              <c:strCache>
                <c:ptCount val="1"/>
                <c:pt idx="0">
                  <c:v>17/05/2022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afstand'!$T$3:$Y$3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afstand'!$T$13:$Y$13</c:f>
              <c:numCache>
                <c:formatCode>0.00</c:formatCode>
                <c:ptCount val="6"/>
                <c:pt idx="0">
                  <c:v>1.9E-2</c:v>
                </c:pt>
                <c:pt idx="1">
                  <c:v>0.75</c:v>
                </c:pt>
                <c:pt idx="2" formatCode="0.0">
                  <c:v>0.56000000000000005</c:v>
                </c:pt>
                <c:pt idx="3" formatCode="0.0">
                  <c:v>0.31</c:v>
                </c:pt>
                <c:pt idx="4" formatCode="0.0">
                  <c:v>0.56000000000000005</c:v>
                </c:pt>
                <c:pt idx="5" formatCode="0.0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5D-4A08-93A2-332B4EBF03CB}"/>
            </c:ext>
          </c:extLst>
        </c:ser>
        <c:ser>
          <c:idx val="7"/>
          <c:order val="7"/>
          <c:tx>
            <c:strRef>
              <c:f>'Grafiek opp wat afstand'!$S$14</c:f>
              <c:strCache>
                <c:ptCount val="1"/>
                <c:pt idx="0">
                  <c:v>12/07/2022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afstand'!$T$3:$Y$3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afstand'!$T$14:$Y$14</c:f>
              <c:numCache>
                <c:formatCode>0.00</c:formatCode>
                <c:ptCount val="6"/>
                <c:pt idx="0">
                  <c:v>4.8000000000000001E-2</c:v>
                </c:pt>
                <c:pt idx="1">
                  <c:v>0.13</c:v>
                </c:pt>
                <c:pt idx="2" formatCode="0.0">
                  <c:v>6.8000000000000005E-2</c:v>
                </c:pt>
                <c:pt idx="3" formatCode="0.0">
                  <c:v>0.15</c:v>
                </c:pt>
                <c:pt idx="4" formatCode="0.0">
                  <c:v>4.7E-2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96-4B6F-9034-F998767D6D83}"/>
            </c:ext>
          </c:extLst>
        </c:ser>
        <c:ser>
          <c:idx val="8"/>
          <c:order val="8"/>
          <c:tx>
            <c:strRef>
              <c:f>'Grafiek opp wat afstand'!$S$15</c:f>
              <c:strCache>
                <c:ptCount val="1"/>
                <c:pt idx="0">
                  <c:v>26/10/2022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afstand'!$T$3:$Y$3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afstand'!$T$15:$Y$15</c:f>
              <c:numCache>
                <c:formatCode>0.00</c:formatCode>
                <c:ptCount val="6"/>
                <c:pt idx="0">
                  <c:v>1.4E-2</c:v>
                </c:pt>
                <c:pt idx="1">
                  <c:v>5.8999999999999997E-2</c:v>
                </c:pt>
                <c:pt idx="2" formatCode="0.0">
                  <c:v>0.95</c:v>
                </c:pt>
                <c:pt idx="3" formatCode="0.0">
                  <c:v>0.01</c:v>
                </c:pt>
                <c:pt idx="4" formatCode="0.0">
                  <c:v>5.2999999999999999E-2</c:v>
                </c:pt>
                <c:pt idx="5" formatCode="0.0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0B-45DF-832F-B4D866DF9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Naftaleen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afstand'!$AB$7</c:f>
              <c:strCache>
                <c:ptCount val="1"/>
                <c:pt idx="0">
                  <c:v>04/04/2020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afstand'!$AC$3:$AH$3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afstand'!$AC$7:$AH$7</c:f>
              <c:numCache>
                <c:formatCode>0.0</c:formatCode>
                <c:ptCount val="6"/>
                <c:pt idx="0" formatCode="0.00">
                  <c:v>0.245</c:v>
                </c:pt>
                <c:pt idx="1">
                  <c:v>34.345999999999997</c:v>
                </c:pt>
                <c:pt idx="2">
                  <c:v>40.014666666666663</c:v>
                </c:pt>
                <c:pt idx="3">
                  <c:v>35.676333333333332</c:v>
                </c:pt>
                <c:pt idx="4">
                  <c:v>35.015666666666668</c:v>
                </c:pt>
                <c:pt idx="5">
                  <c:v>9.7733333333333334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AA-464B-855B-FDF67567F455}"/>
            </c:ext>
          </c:extLst>
        </c:ser>
        <c:ser>
          <c:idx val="1"/>
          <c:order val="1"/>
          <c:tx>
            <c:strRef>
              <c:f>'Grafiek opp wat afstand'!$AB$8</c:f>
              <c:strCache>
                <c:ptCount val="1"/>
                <c:pt idx="0">
                  <c:v>05/01/2021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afstand'!$AC$3:$AH$3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afstand'!$AC$8:$AH$8</c:f>
              <c:numCache>
                <c:formatCode>0.0</c:formatCode>
                <c:ptCount val="6"/>
                <c:pt idx="0" formatCode="0.00">
                  <c:v>4.1000000000000002E-2</c:v>
                </c:pt>
                <c:pt idx="1">
                  <c:v>1</c:v>
                </c:pt>
                <c:pt idx="2" formatCode="0">
                  <c:v>11</c:v>
                </c:pt>
                <c:pt idx="3" formatCode="0">
                  <c:v>10</c:v>
                </c:pt>
                <c:pt idx="4">
                  <c:v>6.1</c:v>
                </c:pt>
                <c:pt idx="5">
                  <c:v>0.47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AA-464B-855B-FDF67567F455}"/>
            </c:ext>
          </c:extLst>
        </c:ser>
        <c:ser>
          <c:idx val="2"/>
          <c:order val="2"/>
          <c:tx>
            <c:strRef>
              <c:f>'Grafiek opp wat afstand'!$AB$9</c:f>
              <c:strCache>
                <c:ptCount val="1"/>
                <c:pt idx="0">
                  <c:v>26/03/2021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afstand'!$AC$3:$AH$3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afstand'!$AC$9:$AH$9</c:f>
              <c:numCache>
                <c:formatCode>0.0</c:formatCode>
                <c:ptCount val="6"/>
                <c:pt idx="0" formatCode="0.00">
                  <c:v>0</c:v>
                </c:pt>
                <c:pt idx="1">
                  <c:v>1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  <c:pt idx="5" formatCode="0.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AA-464B-855B-FDF67567F455}"/>
            </c:ext>
          </c:extLst>
        </c:ser>
        <c:ser>
          <c:idx val="3"/>
          <c:order val="3"/>
          <c:tx>
            <c:strRef>
              <c:f>'Grafiek opp wat afstand'!$AB$10</c:f>
              <c:strCache>
                <c:ptCount val="1"/>
                <c:pt idx="0">
                  <c:v>02/06/2021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afstand'!$AC$3:$AH$3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afstand'!$AC$10:$AH$10</c:f>
              <c:numCache>
                <c:formatCode>0.0</c:formatCode>
                <c:ptCount val="6"/>
                <c:pt idx="0" formatCode="0.00">
                  <c:v>3.3000000000000002E-2</c:v>
                </c:pt>
                <c:pt idx="1">
                  <c:v>0.28000000000000003</c:v>
                </c:pt>
                <c:pt idx="2" formatCode="0.00">
                  <c:v>3.2</c:v>
                </c:pt>
                <c:pt idx="3" formatCode="0.00">
                  <c:v>0</c:v>
                </c:pt>
                <c:pt idx="4">
                  <c:v>0</c:v>
                </c:pt>
                <c:pt idx="5" formatCode="0.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AA-464B-855B-FDF67567F455}"/>
            </c:ext>
          </c:extLst>
        </c:ser>
        <c:ser>
          <c:idx val="4"/>
          <c:order val="4"/>
          <c:tx>
            <c:strRef>
              <c:f>'Grafiek opp wat afstand'!$AB$11</c:f>
              <c:strCache>
                <c:ptCount val="1"/>
                <c:pt idx="0">
                  <c:v>27/09/2021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afstand'!$AC$3:$AH$3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afstand'!$AC$11:$AH$11</c:f>
              <c:numCache>
                <c:formatCode>0.00</c:formatCode>
                <c:ptCount val="6"/>
                <c:pt idx="0">
                  <c:v>6.0999999999999999E-2</c:v>
                </c:pt>
                <c:pt idx="1">
                  <c:v>0.81</c:v>
                </c:pt>
                <c:pt idx="2" formatCode="0.0">
                  <c:v>33</c:v>
                </c:pt>
                <c:pt idx="3" formatCode="0.0">
                  <c:v>8.5</c:v>
                </c:pt>
                <c:pt idx="4" formatCode="0.0">
                  <c:v>3.3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AA-464B-855B-FDF67567F455}"/>
            </c:ext>
          </c:extLst>
        </c:ser>
        <c:ser>
          <c:idx val="5"/>
          <c:order val="5"/>
          <c:tx>
            <c:strRef>
              <c:f>'Grafiek opp wat afstand'!$AB$12</c:f>
              <c:strCache>
                <c:ptCount val="1"/>
                <c:pt idx="0">
                  <c:v>06/01/2022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afstand'!$AC$3:$AH$3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afstand'!$AC$12:$AH$12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 formatCode="0.0">
                  <c:v>6.8</c:v>
                </c:pt>
                <c:pt idx="3" formatCode="0.0">
                  <c:v>10</c:v>
                </c:pt>
                <c:pt idx="4" formatCode="0.0">
                  <c:v>9.6</c:v>
                </c:pt>
                <c:pt idx="5" formatCode="0.0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4D-43A8-BDBA-50DF6FFFC98F}"/>
            </c:ext>
          </c:extLst>
        </c:ser>
        <c:ser>
          <c:idx val="6"/>
          <c:order val="6"/>
          <c:tx>
            <c:strRef>
              <c:f>'Grafiek opp wat afstand'!$AB$13</c:f>
              <c:strCache>
                <c:ptCount val="1"/>
                <c:pt idx="0">
                  <c:v>17/05/2022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afstand'!$AC$3:$AH$3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afstand'!$AC$13:$AH$13</c:f>
              <c:numCache>
                <c:formatCode>0.00</c:formatCode>
                <c:ptCount val="6"/>
                <c:pt idx="0">
                  <c:v>1.6</c:v>
                </c:pt>
                <c:pt idx="1">
                  <c:v>0.12</c:v>
                </c:pt>
                <c:pt idx="2" formatCode="0.0">
                  <c:v>6.6</c:v>
                </c:pt>
                <c:pt idx="3" formatCode="0.0">
                  <c:v>1.9</c:v>
                </c:pt>
                <c:pt idx="4" formatCode="0.0">
                  <c:v>8.4</c:v>
                </c:pt>
                <c:pt idx="5" formatCode="0.0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F5-4A17-8DE7-9BB7CB6A9224}"/>
            </c:ext>
          </c:extLst>
        </c:ser>
        <c:ser>
          <c:idx val="7"/>
          <c:order val="7"/>
          <c:tx>
            <c:strRef>
              <c:f>'Grafiek opp wat afstand'!$AB$14</c:f>
              <c:strCache>
                <c:ptCount val="1"/>
                <c:pt idx="0">
                  <c:v>12/07/2022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afstand'!$AC$3:$AH$3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afstand'!$AC$14:$AH$14</c:f>
              <c:numCache>
                <c:formatCode>0.00</c:formatCode>
                <c:ptCount val="6"/>
                <c:pt idx="0">
                  <c:v>1.7</c:v>
                </c:pt>
                <c:pt idx="1">
                  <c:v>4.5999999999999999E-2</c:v>
                </c:pt>
                <c:pt idx="2" formatCode="0.0">
                  <c:v>0.04</c:v>
                </c:pt>
                <c:pt idx="3" formatCode="0.0">
                  <c:v>3.6999999999999998E-2</c:v>
                </c:pt>
                <c:pt idx="4" formatCode="0.0">
                  <c:v>2.3E-2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25-472F-A116-FF11ED3F1A78}"/>
            </c:ext>
          </c:extLst>
        </c:ser>
        <c:ser>
          <c:idx val="8"/>
          <c:order val="8"/>
          <c:tx>
            <c:strRef>
              <c:f>'Grafiek opp wat afstand'!$AB$15</c:f>
              <c:strCache>
                <c:ptCount val="1"/>
                <c:pt idx="0">
                  <c:v>26/10/2022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afstand'!$AC$3:$AH$3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afstand'!$AC$15:$AH$15</c:f>
              <c:numCache>
                <c:formatCode>0.00</c:formatCode>
                <c:ptCount val="6"/>
                <c:pt idx="0">
                  <c:v>0.02</c:v>
                </c:pt>
                <c:pt idx="1">
                  <c:v>3.3000000000000002E-2</c:v>
                </c:pt>
                <c:pt idx="2" formatCode="0.0">
                  <c:v>0.41</c:v>
                </c:pt>
                <c:pt idx="3" formatCode="0.0">
                  <c:v>0.02</c:v>
                </c:pt>
                <c:pt idx="4" formatCode="0.0">
                  <c:v>0.71</c:v>
                </c:pt>
                <c:pt idx="5" formatCode="0.0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63-4421-BEC4-C0889F41D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Benzeen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afstand'!$A$40</c:f>
              <c:strCache>
                <c:ptCount val="1"/>
                <c:pt idx="0">
                  <c:v>04/04/2020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afstand'!$B$36:$G$36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afstand'!$B$40:$G$40</c:f>
              <c:numCache>
                <c:formatCode>0</c:formatCode>
                <c:ptCount val="6"/>
                <c:pt idx="0" formatCode="0.00">
                  <c:v>0</c:v>
                </c:pt>
                <c:pt idx="1">
                  <c:v>145.33333333333334</c:v>
                </c:pt>
                <c:pt idx="2">
                  <c:v>165.33333333333334</c:v>
                </c:pt>
                <c:pt idx="3">
                  <c:v>80.666666666666671</c:v>
                </c:pt>
                <c:pt idx="4">
                  <c:v>58.333333333333336</c:v>
                </c:pt>
                <c:pt idx="5">
                  <c:v>21.233333333333334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6-48B9-83E6-EFCBBAF540A4}"/>
            </c:ext>
          </c:extLst>
        </c:ser>
        <c:ser>
          <c:idx val="1"/>
          <c:order val="1"/>
          <c:tx>
            <c:strRef>
              <c:f>'Grafiek opp wat afstand'!$A$41</c:f>
              <c:strCache>
                <c:ptCount val="1"/>
                <c:pt idx="0">
                  <c:v>05/01/2021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afstand'!$B$36:$G$36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afstand'!$B$41:$G$41</c:f>
              <c:numCache>
                <c:formatCode>0</c:formatCode>
                <c:ptCount val="6"/>
                <c:pt idx="0" formatCode="0.00">
                  <c:v>0</c:v>
                </c:pt>
                <c:pt idx="1">
                  <c:v>11</c:v>
                </c:pt>
                <c:pt idx="2">
                  <c:v>39</c:v>
                </c:pt>
                <c:pt idx="3">
                  <c:v>38</c:v>
                </c:pt>
                <c:pt idx="4">
                  <c:v>41</c:v>
                </c:pt>
                <c:pt idx="5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6-48B9-83E6-EFCBBAF540A4}"/>
            </c:ext>
          </c:extLst>
        </c:ser>
        <c:ser>
          <c:idx val="2"/>
          <c:order val="2"/>
          <c:tx>
            <c:strRef>
              <c:f>'Grafiek opp wat afstand'!$A$42</c:f>
              <c:strCache>
                <c:ptCount val="1"/>
                <c:pt idx="0">
                  <c:v>26/03/2021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afstand'!$B$36:$G$36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afstand'!$B$42:$G$42</c:f>
              <c:numCache>
                <c:formatCode>0</c:formatCode>
                <c:ptCount val="6"/>
                <c:pt idx="0" formatCode="0.00">
                  <c:v>0</c:v>
                </c:pt>
                <c:pt idx="1">
                  <c:v>7.6</c:v>
                </c:pt>
                <c:pt idx="2">
                  <c:v>33</c:v>
                </c:pt>
                <c:pt idx="3">
                  <c:v>31</c:v>
                </c:pt>
                <c:pt idx="4">
                  <c:v>27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E6-48B9-83E6-EFCBBAF540A4}"/>
            </c:ext>
          </c:extLst>
        </c:ser>
        <c:ser>
          <c:idx val="3"/>
          <c:order val="3"/>
          <c:tx>
            <c:strRef>
              <c:f>'Grafiek opp wat afstand'!$A$43</c:f>
              <c:strCache>
                <c:ptCount val="1"/>
                <c:pt idx="0">
                  <c:v>02/06/2021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afstand'!$B$36:$G$36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afstand'!$B$43:$G$43</c:f>
              <c:numCache>
                <c:formatCode>0</c:formatCode>
                <c:ptCount val="6"/>
                <c:pt idx="0" formatCode="0.00">
                  <c:v>0</c:v>
                </c:pt>
                <c:pt idx="1">
                  <c:v>0</c:v>
                </c:pt>
                <c:pt idx="2">
                  <c:v>3.9</c:v>
                </c:pt>
                <c:pt idx="3">
                  <c:v>53</c:v>
                </c:pt>
                <c:pt idx="4">
                  <c:v>55</c:v>
                </c:pt>
                <c:pt idx="5" formatCode="0.0">
                  <c:v>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E6-48B9-83E6-EFCBBAF540A4}"/>
            </c:ext>
          </c:extLst>
        </c:ser>
        <c:ser>
          <c:idx val="4"/>
          <c:order val="4"/>
          <c:tx>
            <c:strRef>
              <c:f>'Grafiek opp wat afstand'!$A$44</c:f>
              <c:strCache>
                <c:ptCount val="1"/>
                <c:pt idx="0">
                  <c:v>27/09/2021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afstand'!$B$36:$G$36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afstand'!$B$44:$G$44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 formatCode="0">
                  <c:v>76</c:v>
                </c:pt>
                <c:pt idx="3" formatCode="0">
                  <c:v>62</c:v>
                </c:pt>
                <c:pt idx="4" formatCode="0">
                  <c:v>35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E6-48B9-83E6-EFCBBAF540A4}"/>
            </c:ext>
          </c:extLst>
        </c:ser>
        <c:ser>
          <c:idx val="5"/>
          <c:order val="5"/>
          <c:tx>
            <c:strRef>
              <c:f>'Grafiek opp wat afstand'!$A$45</c:f>
              <c:strCache>
                <c:ptCount val="1"/>
                <c:pt idx="0">
                  <c:v>06/01/2022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afstand'!$B$36:$G$36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afstand'!$B$45:$G$45</c:f>
              <c:numCache>
                <c:formatCode>0.00</c:formatCode>
                <c:ptCount val="6"/>
                <c:pt idx="0">
                  <c:v>0</c:v>
                </c:pt>
                <c:pt idx="1">
                  <c:v>4</c:v>
                </c:pt>
                <c:pt idx="2" formatCode="0">
                  <c:v>33</c:v>
                </c:pt>
                <c:pt idx="3" formatCode="0">
                  <c:v>20</c:v>
                </c:pt>
                <c:pt idx="4" formatCode="0">
                  <c:v>19</c:v>
                </c:pt>
                <c:pt idx="5" formatCode="0.0">
                  <c:v>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2F-433A-9831-E976D693C2DD}"/>
            </c:ext>
          </c:extLst>
        </c:ser>
        <c:ser>
          <c:idx val="6"/>
          <c:order val="6"/>
          <c:tx>
            <c:strRef>
              <c:f>'Grafiek opp wat afstand'!$A$46</c:f>
              <c:strCache>
                <c:ptCount val="1"/>
                <c:pt idx="0">
                  <c:v>17/05/2022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afstand'!$B$36:$G$36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afstand'!$B$46:$G$46</c:f>
              <c:numCache>
                <c:formatCode>0.00</c:formatCode>
                <c:ptCount val="6"/>
                <c:pt idx="0">
                  <c:v>4.5</c:v>
                </c:pt>
                <c:pt idx="1">
                  <c:v>190</c:v>
                </c:pt>
                <c:pt idx="2" formatCode="0">
                  <c:v>35</c:v>
                </c:pt>
                <c:pt idx="3" formatCode="0">
                  <c:v>43</c:v>
                </c:pt>
                <c:pt idx="4" formatCode="0">
                  <c:v>28</c:v>
                </c:pt>
                <c:pt idx="5" formatCode="0.0">
                  <c:v>9.8000000000000007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AA-4D98-8CD6-5D667DC4E7E3}"/>
            </c:ext>
          </c:extLst>
        </c:ser>
        <c:ser>
          <c:idx val="7"/>
          <c:order val="7"/>
          <c:tx>
            <c:strRef>
              <c:f>'Grafiek opp wat afstand'!$A$47</c:f>
              <c:strCache>
                <c:ptCount val="1"/>
                <c:pt idx="0">
                  <c:v>12/07/2022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afstand'!$B$36:$G$36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afstand'!$B$47:$G$47</c:f>
              <c:numCache>
                <c:formatCode>0.00</c:formatCode>
                <c:ptCount val="6"/>
                <c:pt idx="0">
                  <c:v>3.8</c:v>
                </c:pt>
                <c:pt idx="1">
                  <c:v>320</c:v>
                </c:pt>
                <c:pt idx="2" formatCode="0">
                  <c:v>330</c:v>
                </c:pt>
                <c:pt idx="3" formatCode="0">
                  <c:v>33</c:v>
                </c:pt>
                <c:pt idx="4" formatCode="0">
                  <c:v>48</c:v>
                </c:pt>
                <c:pt idx="5" formatCode="0.0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B5-48E1-B982-2D21529AD6C0}"/>
            </c:ext>
          </c:extLst>
        </c:ser>
        <c:ser>
          <c:idx val="8"/>
          <c:order val="8"/>
          <c:tx>
            <c:strRef>
              <c:f>'Grafiek opp wat afstand'!$A$48</c:f>
              <c:strCache>
                <c:ptCount val="1"/>
                <c:pt idx="0">
                  <c:v>26/10/2022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afstand'!$B$36:$G$36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afstand'!$B$48:$G$48</c:f>
              <c:numCache>
                <c:formatCode>0.00</c:formatCode>
                <c:ptCount val="6"/>
                <c:pt idx="0">
                  <c:v>0.2</c:v>
                </c:pt>
                <c:pt idx="1">
                  <c:v>0.2</c:v>
                </c:pt>
                <c:pt idx="2" formatCode="0">
                  <c:v>120</c:v>
                </c:pt>
                <c:pt idx="3" formatCode="0">
                  <c:v>27</c:v>
                </c:pt>
                <c:pt idx="4" formatCode="0">
                  <c:v>18</c:v>
                </c:pt>
                <c:pt idx="5" formatCode="0.0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DC-4469-A995-F1AA196BA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Xylenen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afstand'!$A$40</c:f>
              <c:strCache>
                <c:ptCount val="1"/>
                <c:pt idx="0">
                  <c:v>04/04/2020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afstand'!$K$36:$P$36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afstand'!$K$40:$P$40</c:f>
              <c:numCache>
                <c:formatCode>0</c:formatCode>
                <c:ptCount val="6"/>
                <c:pt idx="0" formatCode="0.00">
                  <c:v>0</c:v>
                </c:pt>
                <c:pt idx="1">
                  <c:v>25.333333333333332</c:v>
                </c:pt>
                <c:pt idx="2">
                  <c:v>35</c:v>
                </c:pt>
                <c:pt idx="3">
                  <c:v>21.666666666666668</c:v>
                </c:pt>
                <c:pt idx="4">
                  <c:v>15.333333333333334</c:v>
                </c:pt>
                <c:pt idx="5">
                  <c:v>5.6333333333333329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AF-4390-AEC2-1996EC0B5865}"/>
            </c:ext>
          </c:extLst>
        </c:ser>
        <c:ser>
          <c:idx val="1"/>
          <c:order val="1"/>
          <c:tx>
            <c:strRef>
              <c:f>'Grafiek opp wat afstand'!$A$41</c:f>
              <c:strCache>
                <c:ptCount val="1"/>
                <c:pt idx="0">
                  <c:v>05/01/2021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afstand'!$K$36:$P$36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afstand'!$K$41:$P$41</c:f>
              <c:numCache>
                <c:formatCode>0.0</c:formatCode>
                <c:ptCount val="6"/>
                <c:pt idx="0" formatCode="0.00">
                  <c:v>0</c:v>
                </c:pt>
                <c:pt idx="1">
                  <c:v>1.4</c:v>
                </c:pt>
                <c:pt idx="2">
                  <c:v>5.2</c:v>
                </c:pt>
                <c:pt idx="3">
                  <c:v>5.0999999999999996</c:v>
                </c:pt>
                <c:pt idx="4">
                  <c:v>5.7</c:v>
                </c:pt>
                <c:pt idx="5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AF-4390-AEC2-1996EC0B5865}"/>
            </c:ext>
          </c:extLst>
        </c:ser>
        <c:ser>
          <c:idx val="2"/>
          <c:order val="2"/>
          <c:tx>
            <c:strRef>
              <c:f>'Grafiek opp wat afstand'!$A$42</c:f>
              <c:strCache>
                <c:ptCount val="1"/>
                <c:pt idx="0">
                  <c:v>26/03/2021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afstand'!$K$36:$P$36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afstand'!$K$42:$P$42</c:f>
              <c:numCache>
                <c:formatCode>0.0</c:formatCode>
                <c:ptCount val="6"/>
                <c:pt idx="0" formatCode="0.00">
                  <c:v>0</c:v>
                </c:pt>
                <c:pt idx="1">
                  <c:v>0.77</c:v>
                </c:pt>
                <c:pt idx="2">
                  <c:v>4.0999999999999996</c:v>
                </c:pt>
                <c:pt idx="3">
                  <c:v>3.8</c:v>
                </c:pt>
                <c:pt idx="4">
                  <c:v>3.6</c:v>
                </c:pt>
                <c:pt idx="5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AF-4390-AEC2-1996EC0B5865}"/>
            </c:ext>
          </c:extLst>
        </c:ser>
        <c:ser>
          <c:idx val="3"/>
          <c:order val="3"/>
          <c:tx>
            <c:strRef>
              <c:f>'Grafiek opp wat afstand'!$A$43</c:f>
              <c:strCache>
                <c:ptCount val="1"/>
                <c:pt idx="0">
                  <c:v>02/06/2021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afstand'!$K$36:$P$36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afstand'!$K$43:$P$43</c:f>
              <c:numCache>
                <c:formatCode>0.0</c:formatCode>
                <c:ptCount val="6"/>
                <c:pt idx="0" formatCode="0.00">
                  <c:v>0</c:v>
                </c:pt>
                <c:pt idx="1">
                  <c:v>0</c:v>
                </c:pt>
                <c:pt idx="2">
                  <c:v>1.5</c:v>
                </c:pt>
                <c:pt idx="3" formatCode="0">
                  <c:v>11</c:v>
                </c:pt>
                <c:pt idx="4" formatCode="0">
                  <c:v>12</c:v>
                </c:pt>
                <c:pt idx="5">
                  <c:v>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AF-4390-AEC2-1996EC0B5865}"/>
            </c:ext>
          </c:extLst>
        </c:ser>
        <c:ser>
          <c:idx val="4"/>
          <c:order val="4"/>
          <c:tx>
            <c:strRef>
              <c:f>'Grafiek opp wat afstand'!$A$44</c:f>
              <c:strCache>
                <c:ptCount val="1"/>
                <c:pt idx="0">
                  <c:v>27/09/2021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afstand'!$K$36:$P$36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afstand'!$K$44:$P$44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 formatCode="0">
                  <c:v>12</c:v>
                </c:pt>
                <c:pt idx="3" formatCode="0.0">
                  <c:v>9.4</c:v>
                </c:pt>
                <c:pt idx="4" formatCode="0.0">
                  <c:v>6.1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AF-4390-AEC2-1996EC0B5865}"/>
            </c:ext>
          </c:extLst>
        </c:ser>
        <c:ser>
          <c:idx val="5"/>
          <c:order val="5"/>
          <c:tx>
            <c:strRef>
              <c:f>'Grafiek opp wat afstand'!$A$45</c:f>
              <c:strCache>
                <c:ptCount val="1"/>
                <c:pt idx="0">
                  <c:v>06/01/2022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afstand'!$K$36:$P$36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afstand'!$K$45:$P$45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 formatCode="0.0">
                  <c:v>4</c:v>
                </c:pt>
                <c:pt idx="3" formatCode="0.0">
                  <c:v>2.8</c:v>
                </c:pt>
                <c:pt idx="4" formatCode="0.0">
                  <c:v>2.9</c:v>
                </c:pt>
                <c:pt idx="5" formatCode="0.0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FF-4513-B9A9-333FDAE684D9}"/>
            </c:ext>
          </c:extLst>
        </c:ser>
        <c:ser>
          <c:idx val="6"/>
          <c:order val="6"/>
          <c:tx>
            <c:strRef>
              <c:f>'Grafiek opp wat afstand'!$A$46</c:f>
              <c:strCache>
                <c:ptCount val="1"/>
                <c:pt idx="0">
                  <c:v>17/05/2022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afstand'!$K$36:$P$36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afstand'!$K$46:$P$46</c:f>
              <c:numCache>
                <c:formatCode>0</c:formatCode>
                <c:ptCount val="6"/>
                <c:pt idx="0" formatCode="0.00">
                  <c:v>0</c:v>
                </c:pt>
                <c:pt idx="1">
                  <c:v>22</c:v>
                </c:pt>
                <c:pt idx="2">
                  <c:v>11</c:v>
                </c:pt>
                <c:pt idx="3" formatCode="0.0">
                  <c:v>5.5</c:v>
                </c:pt>
                <c:pt idx="4" formatCode="0.0">
                  <c:v>8.6</c:v>
                </c:pt>
                <c:pt idx="5" formatCode="0.0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F3-44E0-B578-B3A598104486}"/>
            </c:ext>
          </c:extLst>
        </c:ser>
        <c:ser>
          <c:idx val="7"/>
          <c:order val="7"/>
          <c:tx>
            <c:strRef>
              <c:f>'Grafiek opp wat afstand'!$A$47</c:f>
              <c:strCache>
                <c:ptCount val="1"/>
                <c:pt idx="0">
                  <c:v>12/07/2022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afstand'!$K$36:$P$36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afstand'!$K$47:$P$47</c:f>
              <c:numCache>
                <c:formatCode>0</c:formatCode>
                <c:ptCount val="6"/>
                <c:pt idx="0" formatCode="0.00">
                  <c:v>0</c:v>
                </c:pt>
                <c:pt idx="1">
                  <c:v>35</c:v>
                </c:pt>
                <c:pt idx="2">
                  <c:v>37</c:v>
                </c:pt>
                <c:pt idx="3" formatCode="0.0">
                  <c:v>3.9</c:v>
                </c:pt>
                <c:pt idx="4" formatCode="0.0">
                  <c:v>5.7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7-4400-9F0C-40A92D443D6E}"/>
            </c:ext>
          </c:extLst>
        </c:ser>
        <c:ser>
          <c:idx val="8"/>
          <c:order val="8"/>
          <c:tx>
            <c:strRef>
              <c:f>'Grafiek opp wat afstand'!$A$48</c:f>
              <c:strCache>
                <c:ptCount val="1"/>
                <c:pt idx="0">
                  <c:v>26/10/2022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afstand'!$K$36:$P$36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afstand'!$K$48:$P$48</c:f>
              <c:numCache>
                <c:formatCode>0</c:formatCode>
                <c:ptCount val="6"/>
                <c:pt idx="0" formatCode="0.00">
                  <c:v>0.4</c:v>
                </c:pt>
                <c:pt idx="1">
                  <c:v>0.4</c:v>
                </c:pt>
                <c:pt idx="2">
                  <c:v>14</c:v>
                </c:pt>
                <c:pt idx="3" formatCode="0.0">
                  <c:v>3.1</c:v>
                </c:pt>
                <c:pt idx="4" formatCode="0.0">
                  <c:v>2.2000000000000002</c:v>
                </c:pt>
                <c:pt idx="5" formatCode="0.0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A0-4D31-AD18-5FED05DC5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C5-C10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afstand'!$A$40</c:f>
              <c:strCache>
                <c:ptCount val="1"/>
                <c:pt idx="0">
                  <c:v>04/04/2020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afstand'!$T$36:$Y$36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afstand'!$T$40:$Y$40</c:f>
              <c:numCache>
                <c:formatCode>0</c:formatCode>
                <c:ptCount val="6"/>
                <c:pt idx="0" formatCode="0.00">
                  <c:v>0</c:v>
                </c:pt>
                <c:pt idx="1">
                  <c:v>230</c:v>
                </c:pt>
                <c:pt idx="2">
                  <c:v>266.66666666666669</c:v>
                </c:pt>
                <c:pt idx="3">
                  <c:v>140</c:v>
                </c:pt>
                <c:pt idx="4">
                  <c:v>104</c:v>
                </c:pt>
                <c:pt idx="5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6-428C-AAB8-F6793A6B7521}"/>
            </c:ext>
          </c:extLst>
        </c:ser>
        <c:ser>
          <c:idx val="1"/>
          <c:order val="1"/>
          <c:tx>
            <c:strRef>
              <c:f>'Grafiek opp wat afstand'!$A$41</c:f>
              <c:strCache>
                <c:ptCount val="1"/>
                <c:pt idx="0">
                  <c:v>05/01/2021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afstand'!$T$36:$Y$36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afstand'!$T$41:$Y$41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 formatCode="0">
                  <c:v>44</c:v>
                </c:pt>
                <c:pt idx="3" formatCode="0">
                  <c:v>43</c:v>
                </c:pt>
                <c:pt idx="4" formatCode="0">
                  <c:v>49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46-428C-AAB8-F6793A6B7521}"/>
            </c:ext>
          </c:extLst>
        </c:ser>
        <c:ser>
          <c:idx val="2"/>
          <c:order val="2"/>
          <c:tx>
            <c:strRef>
              <c:f>'Grafiek opp wat afstand'!$A$42</c:f>
              <c:strCache>
                <c:ptCount val="1"/>
                <c:pt idx="0">
                  <c:v>26/03/2021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afstand'!$T$36:$Y$36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afstand'!$T$42:$Y$42</c:f>
              <c:numCache>
                <c:formatCode>0</c:formatCode>
                <c:ptCount val="6"/>
                <c:pt idx="0" formatCode="0.00">
                  <c:v>0</c:v>
                </c:pt>
                <c:pt idx="1">
                  <c:v>0</c:v>
                </c:pt>
                <c:pt idx="2">
                  <c:v>39</c:v>
                </c:pt>
                <c:pt idx="3">
                  <c:v>37</c:v>
                </c:pt>
                <c:pt idx="4">
                  <c:v>32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46-428C-AAB8-F6793A6B7521}"/>
            </c:ext>
          </c:extLst>
        </c:ser>
        <c:ser>
          <c:idx val="3"/>
          <c:order val="3"/>
          <c:tx>
            <c:strRef>
              <c:f>'Grafiek opp wat afstand'!$A$43</c:f>
              <c:strCache>
                <c:ptCount val="1"/>
                <c:pt idx="0">
                  <c:v>02/06/2021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afstand'!$T$36:$Y$36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afstand'!$T$43:$Y$43</c:f>
              <c:numCache>
                <c:formatCode>0</c:formatCode>
                <c:ptCount val="6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60</c:v>
                </c:pt>
                <c:pt idx="4">
                  <c:v>86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46-428C-AAB8-F6793A6B7521}"/>
            </c:ext>
          </c:extLst>
        </c:ser>
        <c:ser>
          <c:idx val="4"/>
          <c:order val="4"/>
          <c:tx>
            <c:strRef>
              <c:f>'Grafiek opp wat afstand'!$A$44</c:f>
              <c:strCache>
                <c:ptCount val="1"/>
                <c:pt idx="0">
                  <c:v>27/09/2021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afstand'!$T$36:$Y$36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afstand'!$T$44:$Y$44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 formatCode="0">
                  <c:v>110</c:v>
                </c:pt>
                <c:pt idx="3" formatCode="0">
                  <c:v>90</c:v>
                </c:pt>
                <c:pt idx="4" formatCode="0.0">
                  <c:v>40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46-428C-AAB8-F6793A6B7521}"/>
            </c:ext>
          </c:extLst>
        </c:ser>
        <c:ser>
          <c:idx val="5"/>
          <c:order val="5"/>
          <c:tx>
            <c:strRef>
              <c:f>'Grafiek opp wat afstand'!$A$45</c:f>
              <c:strCache>
                <c:ptCount val="1"/>
                <c:pt idx="0">
                  <c:v>06/01/2022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afstand'!$T$36:$Y$36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afstand'!$T$45:$Y$45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 formatCode="0">
                  <c:v>51</c:v>
                </c:pt>
                <c:pt idx="3" formatCode="0">
                  <c:v>0</c:v>
                </c:pt>
                <c:pt idx="4" formatCode="0.0">
                  <c:v>0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C8-4AE4-AFAD-BC02A6AE59C3}"/>
            </c:ext>
          </c:extLst>
        </c:ser>
        <c:ser>
          <c:idx val="6"/>
          <c:order val="6"/>
          <c:tx>
            <c:strRef>
              <c:f>'Grafiek opp wat afstand'!$A$46</c:f>
              <c:strCache>
                <c:ptCount val="1"/>
                <c:pt idx="0">
                  <c:v>17/05/2022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afstand'!$T$36:$Y$36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afstand'!$T$46:$Y$46</c:f>
              <c:numCache>
                <c:formatCode>0</c:formatCode>
                <c:ptCount val="6"/>
                <c:pt idx="0" formatCode="0.00">
                  <c:v>0</c:v>
                </c:pt>
                <c:pt idx="1">
                  <c:v>280</c:v>
                </c:pt>
                <c:pt idx="2">
                  <c:v>0</c:v>
                </c:pt>
                <c:pt idx="3">
                  <c:v>0</c:v>
                </c:pt>
                <c:pt idx="4">
                  <c:v>95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4F-46E5-AEC1-75CD88A6ED8F}"/>
            </c:ext>
          </c:extLst>
        </c:ser>
        <c:ser>
          <c:idx val="7"/>
          <c:order val="7"/>
          <c:tx>
            <c:strRef>
              <c:f>'Grafiek opp wat afstand'!$A$47</c:f>
              <c:strCache>
                <c:ptCount val="1"/>
                <c:pt idx="0">
                  <c:v>12/07/2022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afstand'!$T$36:$Y$36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afstand'!$T$47:$Y$47</c:f>
              <c:numCache>
                <c:formatCode>0</c:formatCode>
                <c:ptCount val="6"/>
                <c:pt idx="0" formatCode="0.00">
                  <c:v>0</c:v>
                </c:pt>
                <c:pt idx="1">
                  <c:v>460</c:v>
                </c:pt>
                <c:pt idx="2">
                  <c:v>480</c:v>
                </c:pt>
                <c:pt idx="3">
                  <c:v>0</c:v>
                </c:pt>
                <c:pt idx="4">
                  <c:v>84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6E-41EF-B72C-489EE3335FEA}"/>
            </c:ext>
          </c:extLst>
        </c:ser>
        <c:ser>
          <c:idx val="8"/>
          <c:order val="8"/>
          <c:tx>
            <c:strRef>
              <c:f>'Grafiek opp wat afstand'!$A$48</c:f>
              <c:strCache>
                <c:ptCount val="1"/>
                <c:pt idx="0">
                  <c:v>26/10/2022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afstand'!$T$36:$Y$36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afstand'!$T$48:$Y$48</c:f>
              <c:numCache>
                <c:formatCode>0</c:formatCode>
                <c:ptCount val="6"/>
                <c:pt idx="0" formatCode="0.00">
                  <c:v>0</c:v>
                </c:pt>
                <c:pt idx="1">
                  <c:v>0</c:v>
                </c:pt>
                <c:pt idx="2">
                  <c:v>180</c:v>
                </c:pt>
                <c:pt idx="3">
                  <c:v>0</c:v>
                </c:pt>
                <c:pt idx="4">
                  <c:v>0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29-4897-946C-36677B186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Anthraceen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afstand'!$A$40</c:f>
              <c:strCache>
                <c:ptCount val="1"/>
                <c:pt idx="0">
                  <c:v>04/04/2020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afstand'!$AC$36:$AH$36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afstand'!$AC$40:$AH$40</c:f>
              <c:numCache>
                <c:formatCode>0.00</c:formatCode>
                <c:ptCount val="6"/>
                <c:pt idx="0">
                  <c:v>6.5666666666666665E-2</c:v>
                </c:pt>
                <c:pt idx="1">
                  <c:v>0.97333333333333327</c:v>
                </c:pt>
                <c:pt idx="2">
                  <c:v>0.87666666666666659</c:v>
                </c:pt>
                <c:pt idx="3">
                  <c:v>0.76333333333333331</c:v>
                </c:pt>
                <c:pt idx="4">
                  <c:v>1.0333333333333334</c:v>
                </c:pt>
                <c:pt idx="5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7-4847-88A0-8DA50E6BC31E}"/>
            </c:ext>
          </c:extLst>
        </c:ser>
        <c:ser>
          <c:idx val="1"/>
          <c:order val="1"/>
          <c:tx>
            <c:strRef>
              <c:f>'Grafiek opp wat afstand'!$A$41</c:f>
              <c:strCache>
                <c:ptCount val="1"/>
                <c:pt idx="0">
                  <c:v>05/01/2021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afstand'!$AC$36:$AH$36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afstand'!$AC$41:$AH$41</c:f>
              <c:numCache>
                <c:formatCode>0.00</c:formatCode>
                <c:ptCount val="6"/>
                <c:pt idx="0">
                  <c:v>0</c:v>
                </c:pt>
                <c:pt idx="1">
                  <c:v>2.1000000000000001E-2</c:v>
                </c:pt>
                <c:pt idx="2">
                  <c:v>9.5000000000000001E-2</c:v>
                </c:pt>
                <c:pt idx="3">
                  <c:v>0.13</c:v>
                </c:pt>
                <c:pt idx="4" formatCode="0.0">
                  <c:v>0.17</c:v>
                </c:pt>
                <c:pt idx="5" formatCode="0.0">
                  <c:v>0.26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7-4847-88A0-8DA50E6BC31E}"/>
            </c:ext>
          </c:extLst>
        </c:ser>
        <c:ser>
          <c:idx val="2"/>
          <c:order val="2"/>
          <c:tx>
            <c:strRef>
              <c:f>'Grafiek opp wat afstand'!$A$42</c:f>
              <c:strCache>
                <c:ptCount val="1"/>
                <c:pt idx="0">
                  <c:v>26/03/2021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afstand'!$AC$36:$AH$36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afstand'!$AC$42:$AH$42</c:f>
              <c:numCache>
                <c:formatCode>0.00</c:formatCode>
                <c:ptCount val="6"/>
                <c:pt idx="0">
                  <c:v>0</c:v>
                </c:pt>
                <c:pt idx="1">
                  <c:v>2.5999999999999999E-2</c:v>
                </c:pt>
                <c:pt idx="2">
                  <c:v>1.4E-2</c:v>
                </c:pt>
                <c:pt idx="3">
                  <c:v>6.6000000000000003E-2</c:v>
                </c:pt>
                <c:pt idx="4">
                  <c:v>1.4E-2</c:v>
                </c:pt>
                <c:pt idx="5">
                  <c:v>3.9E-2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F7-4847-88A0-8DA50E6BC31E}"/>
            </c:ext>
          </c:extLst>
        </c:ser>
        <c:ser>
          <c:idx val="3"/>
          <c:order val="3"/>
          <c:tx>
            <c:strRef>
              <c:f>'Grafiek opp wat afstand'!$A$43</c:f>
              <c:strCache>
                <c:ptCount val="1"/>
                <c:pt idx="0">
                  <c:v>02/06/2021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afstand'!$AC$36:$AH$36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afstand'!$AC$43:$AH$43</c:f>
              <c:numCache>
                <c:formatCode>0.00</c:formatCode>
                <c:ptCount val="6"/>
                <c:pt idx="0">
                  <c:v>0</c:v>
                </c:pt>
                <c:pt idx="1">
                  <c:v>2.5000000000000001E-2</c:v>
                </c:pt>
                <c:pt idx="2">
                  <c:v>3.3000000000000002E-2</c:v>
                </c:pt>
                <c:pt idx="3">
                  <c:v>2.9000000000000001E-2</c:v>
                </c:pt>
                <c:pt idx="4">
                  <c:v>4.4999999999999998E-2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F7-4847-88A0-8DA50E6BC31E}"/>
            </c:ext>
          </c:extLst>
        </c:ser>
        <c:ser>
          <c:idx val="4"/>
          <c:order val="4"/>
          <c:tx>
            <c:strRef>
              <c:f>'Grafiek opp wat afstand'!$A$44</c:f>
              <c:strCache>
                <c:ptCount val="1"/>
                <c:pt idx="0">
                  <c:v>27/09/2021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afstand'!$AC$36:$AH$36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afstand'!$AC$44:$AH$44</c:f>
              <c:numCache>
                <c:formatCode>0.00</c:formatCode>
                <c:ptCount val="6"/>
                <c:pt idx="0">
                  <c:v>1.2E-2</c:v>
                </c:pt>
                <c:pt idx="1">
                  <c:v>0.15</c:v>
                </c:pt>
                <c:pt idx="2">
                  <c:v>0.4</c:v>
                </c:pt>
                <c:pt idx="3">
                  <c:v>0.32</c:v>
                </c:pt>
                <c:pt idx="4">
                  <c:v>0.27</c:v>
                </c:pt>
                <c:pt idx="5" formatCode="0.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F7-4847-88A0-8DA50E6BC31E}"/>
            </c:ext>
          </c:extLst>
        </c:ser>
        <c:ser>
          <c:idx val="5"/>
          <c:order val="5"/>
          <c:tx>
            <c:strRef>
              <c:f>'Grafiek opp wat afstand'!$A$45</c:f>
              <c:strCache>
                <c:ptCount val="1"/>
                <c:pt idx="0">
                  <c:v>06/01/2022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afstand'!$AC$36:$AH$36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afstand'!$AC$45:$AH$45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6.2E-2</c:v>
                </c:pt>
                <c:pt idx="4">
                  <c:v>7.4999999999999997E-2</c:v>
                </c:pt>
                <c:pt idx="5" formatCode="0.0">
                  <c:v>0.17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E8-4A74-A637-CCB3889F9391}"/>
            </c:ext>
          </c:extLst>
        </c:ser>
        <c:ser>
          <c:idx val="6"/>
          <c:order val="6"/>
          <c:tx>
            <c:strRef>
              <c:f>'Grafiek opp wat afstand'!$A$46</c:f>
              <c:strCache>
                <c:ptCount val="1"/>
                <c:pt idx="0">
                  <c:v>17/05/2022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afstand'!$AC$36:$AH$36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afstand'!$AC$46:$AH$46</c:f>
              <c:numCache>
                <c:formatCode>0.00</c:formatCode>
                <c:ptCount val="6"/>
                <c:pt idx="0">
                  <c:v>0</c:v>
                </c:pt>
                <c:pt idx="1">
                  <c:v>6.3E-2</c:v>
                </c:pt>
                <c:pt idx="2">
                  <c:v>0.1</c:v>
                </c:pt>
                <c:pt idx="3">
                  <c:v>0.11</c:v>
                </c:pt>
                <c:pt idx="4">
                  <c:v>8.5000000000000006E-2</c:v>
                </c:pt>
                <c:pt idx="5" formatCode="0.0">
                  <c:v>6.3E-2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A3-475F-9C90-6BB380328FA4}"/>
            </c:ext>
          </c:extLst>
        </c:ser>
        <c:ser>
          <c:idx val="7"/>
          <c:order val="7"/>
          <c:tx>
            <c:strRef>
              <c:f>'Grafiek opp wat afstand'!$A$47</c:f>
              <c:strCache>
                <c:ptCount val="1"/>
                <c:pt idx="0">
                  <c:v>12/07/2022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afstand'!$AC$36:$AH$36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afstand'!$AC$47:$AH$47</c:f>
              <c:numCache>
                <c:formatCode>0.00</c:formatCode>
                <c:ptCount val="6"/>
                <c:pt idx="0">
                  <c:v>2.1000000000000001E-2</c:v>
                </c:pt>
                <c:pt idx="1">
                  <c:v>0.18</c:v>
                </c:pt>
                <c:pt idx="2">
                  <c:v>0.16</c:v>
                </c:pt>
                <c:pt idx="3">
                  <c:v>0.14000000000000001</c:v>
                </c:pt>
                <c:pt idx="4">
                  <c:v>7.1999999999999995E-2</c:v>
                </c:pt>
                <c:pt idx="5" formatCode="0.0">
                  <c:v>4.3999999999999997E-2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2C-4660-BE62-6D4F8CCC9CF9}"/>
            </c:ext>
          </c:extLst>
        </c:ser>
        <c:ser>
          <c:idx val="8"/>
          <c:order val="8"/>
          <c:tx>
            <c:strRef>
              <c:f>'Grafiek opp wat afstand'!$A$48</c:f>
              <c:strCache>
                <c:ptCount val="1"/>
                <c:pt idx="0">
                  <c:v>26/10/2022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afstand'!$AC$36:$AH$36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afstand'!$AC$48:$AH$48</c:f>
              <c:numCache>
                <c:formatCode>0.00</c:formatCode>
                <c:ptCount val="6"/>
                <c:pt idx="0">
                  <c:v>2.1000000000000001E-2</c:v>
                </c:pt>
                <c:pt idx="1">
                  <c:v>2.3E-2</c:v>
                </c:pt>
                <c:pt idx="2">
                  <c:v>0.13</c:v>
                </c:pt>
                <c:pt idx="3">
                  <c:v>0.01</c:v>
                </c:pt>
                <c:pt idx="4">
                  <c:v>0.02</c:v>
                </c:pt>
                <c:pt idx="5" formatCode="0.0">
                  <c:v>1.0999999999999999E-2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F9-4FD9-8192-0AFC6511C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Fenolindex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afstand'!$A$69</c:f>
              <c:strCache>
                <c:ptCount val="1"/>
                <c:pt idx="0">
                  <c:v>04/04/2020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afstand'!$B$68:$G$68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afstand'!$B$69:$G$69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E2-40C5-B457-5334B4175337}"/>
            </c:ext>
          </c:extLst>
        </c:ser>
        <c:ser>
          <c:idx val="1"/>
          <c:order val="1"/>
          <c:tx>
            <c:strRef>
              <c:f>'Grafiek opp wat afstand'!$A$70</c:f>
              <c:strCache>
                <c:ptCount val="1"/>
                <c:pt idx="0">
                  <c:v>05/01/2021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afstand'!$B$68:$G$68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afstand'!$B$70:$G$70</c:f>
              <c:numCache>
                <c:formatCode>0.0</c:formatCode>
                <c:ptCount val="6"/>
                <c:pt idx="0" formatCode="0.00">
                  <c:v>0</c:v>
                </c:pt>
                <c:pt idx="1">
                  <c:v>0</c:v>
                </c:pt>
                <c:pt idx="2" formatCode="0">
                  <c:v>7.9</c:v>
                </c:pt>
                <c:pt idx="3" formatCode="0">
                  <c:v>12</c:v>
                </c:pt>
                <c:pt idx="4" formatCode="0">
                  <c:v>13</c:v>
                </c:pt>
                <c:pt idx="5" formatCode="0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E2-40C5-B457-5334B4175337}"/>
            </c:ext>
          </c:extLst>
        </c:ser>
        <c:ser>
          <c:idx val="2"/>
          <c:order val="2"/>
          <c:tx>
            <c:strRef>
              <c:f>'Grafiek opp wat afstand'!$A$71</c:f>
              <c:strCache>
                <c:ptCount val="1"/>
                <c:pt idx="0">
                  <c:v>26/03/2021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afstand'!$B$68:$G$68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afstand'!$B$71:$G$71</c:f>
              <c:numCache>
                <c:formatCode>0</c:formatCode>
                <c:ptCount val="6"/>
                <c:pt idx="0" formatCode="0.00">
                  <c:v>0</c:v>
                </c:pt>
                <c:pt idx="1">
                  <c:v>0</c:v>
                </c:pt>
                <c:pt idx="2">
                  <c:v>15</c:v>
                </c:pt>
                <c:pt idx="3">
                  <c:v>16</c:v>
                </c:pt>
                <c:pt idx="4">
                  <c:v>15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E2-40C5-B457-5334B4175337}"/>
            </c:ext>
          </c:extLst>
        </c:ser>
        <c:ser>
          <c:idx val="3"/>
          <c:order val="3"/>
          <c:tx>
            <c:strRef>
              <c:f>'Grafiek opp wat afstand'!$A$72</c:f>
              <c:strCache>
                <c:ptCount val="1"/>
                <c:pt idx="0">
                  <c:v>02/06/2021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afstand'!$B$68:$G$68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afstand'!$B$72:$G$72</c:f>
              <c:numCache>
                <c:formatCode>0</c:formatCode>
                <c:ptCount val="6"/>
                <c:pt idx="0" formatCode="0.0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6.1</c:v>
                </c:pt>
                <c:pt idx="4">
                  <c:v>3.3</c:v>
                </c:pt>
                <c:pt idx="5" formatCode="0.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E2-40C5-B457-5334B4175337}"/>
            </c:ext>
          </c:extLst>
        </c:ser>
        <c:ser>
          <c:idx val="4"/>
          <c:order val="4"/>
          <c:tx>
            <c:strRef>
              <c:f>'Grafiek opp wat afstand'!$A$73</c:f>
              <c:strCache>
                <c:ptCount val="1"/>
                <c:pt idx="0">
                  <c:v>27/09/2021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afstand'!$B$68:$G$68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afstand'!$B$73:$G$73</c:f>
              <c:numCache>
                <c:formatCode>0</c:formatCode>
                <c:ptCount val="6"/>
                <c:pt idx="0" formatCode="0.00">
                  <c:v>0</c:v>
                </c:pt>
                <c:pt idx="1">
                  <c:v>0</c:v>
                </c:pt>
                <c:pt idx="2">
                  <c:v>45</c:v>
                </c:pt>
                <c:pt idx="3">
                  <c:v>42</c:v>
                </c:pt>
                <c:pt idx="4">
                  <c:v>31</c:v>
                </c:pt>
                <c:pt idx="5" formatCode="0.0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E2-40C5-B457-5334B4175337}"/>
            </c:ext>
          </c:extLst>
        </c:ser>
        <c:ser>
          <c:idx val="5"/>
          <c:order val="5"/>
          <c:tx>
            <c:strRef>
              <c:f>'Grafiek opp wat afstand'!$A$74</c:f>
              <c:strCache>
                <c:ptCount val="1"/>
                <c:pt idx="0">
                  <c:v>06/01/2022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afstand'!$B$68:$G$68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afstand'!$B$74:$G$74</c:f>
              <c:numCache>
                <c:formatCode>0</c:formatCode>
                <c:ptCount val="6"/>
                <c:pt idx="0" formatCode="0.00">
                  <c:v>0</c:v>
                </c:pt>
                <c:pt idx="1">
                  <c:v>1.2</c:v>
                </c:pt>
                <c:pt idx="2">
                  <c:v>13</c:v>
                </c:pt>
                <c:pt idx="3">
                  <c:v>15</c:v>
                </c:pt>
                <c:pt idx="4">
                  <c:v>17</c:v>
                </c:pt>
                <c:pt idx="5" formatCode="0.0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97-40C8-AFE5-6028AC56FC61}"/>
            </c:ext>
          </c:extLst>
        </c:ser>
        <c:ser>
          <c:idx val="6"/>
          <c:order val="6"/>
          <c:tx>
            <c:strRef>
              <c:f>'Grafiek opp wat afstand'!$A$75</c:f>
              <c:strCache>
                <c:ptCount val="1"/>
                <c:pt idx="0">
                  <c:v>17/05/2022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afstand'!$B$68:$G$68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afstand'!$B$75:$G$75</c:f>
              <c:numCache>
                <c:formatCode>0</c:formatCode>
                <c:ptCount val="6"/>
                <c:pt idx="0" formatCode="0.00">
                  <c:v>0</c:v>
                </c:pt>
                <c:pt idx="1">
                  <c:v>13</c:v>
                </c:pt>
                <c:pt idx="2">
                  <c:v>4.5</c:v>
                </c:pt>
                <c:pt idx="3">
                  <c:v>13</c:v>
                </c:pt>
                <c:pt idx="4">
                  <c:v>12</c:v>
                </c:pt>
                <c:pt idx="5" formatCode="0.0">
                  <c:v>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A-41C7-A8DB-69BAE2ECE912}"/>
            </c:ext>
          </c:extLst>
        </c:ser>
        <c:ser>
          <c:idx val="7"/>
          <c:order val="7"/>
          <c:tx>
            <c:strRef>
              <c:f>'Grafiek opp wat afstand'!$A$76</c:f>
              <c:strCache>
                <c:ptCount val="1"/>
                <c:pt idx="0">
                  <c:v>12/07/2022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afstand'!$B$68:$G$68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afstand'!$B$76:$G$76</c:f>
              <c:numCache>
                <c:formatCode>0</c:formatCode>
                <c:ptCount val="6"/>
                <c:pt idx="0" formatCode="0.00">
                  <c:v>1.7</c:v>
                </c:pt>
                <c:pt idx="1">
                  <c:v>20</c:v>
                </c:pt>
                <c:pt idx="2">
                  <c:v>21</c:v>
                </c:pt>
                <c:pt idx="3">
                  <c:v>30</c:v>
                </c:pt>
                <c:pt idx="4">
                  <c:v>56</c:v>
                </c:pt>
                <c:pt idx="5" formatCode="0.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29-46EA-AB3C-1275BEF6B488}"/>
            </c:ext>
          </c:extLst>
        </c:ser>
        <c:ser>
          <c:idx val="8"/>
          <c:order val="8"/>
          <c:tx>
            <c:strRef>
              <c:f>'Grafiek opp wat afstand'!$A$77</c:f>
              <c:strCache>
                <c:ptCount val="1"/>
                <c:pt idx="0">
                  <c:v>26/10/2022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afstand'!$B$68:$G$68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afstand'!$B$77:$G$77</c:f>
              <c:numCache>
                <c:formatCode>0</c:formatCode>
                <c:ptCount val="6"/>
                <c:pt idx="0" formatCode="0.00">
                  <c:v>1.1000000000000001</c:v>
                </c:pt>
                <c:pt idx="1">
                  <c:v>1.6</c:v>
                </c:pt>
                <c:pt idx="2">
                  <c:v>19</c:v>
                </c:pt>
                <c:pt idx="3">
                  <c:v>18</c:v>
                </c:pt>
                <c:pt idx="4">
                  <c:v>15</c:v>
                </c:pt>
                <c:pt idx="5" formatCode="0.0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BA-4E4F-A49D-467EDF280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Geleidbaarheid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'Grafiek opp wat afstand'!$J$69</c:f>
              <c:strCache>
                <c:ptCount val="1"/>
                <c:pt idx="0">
                  <c:v>04/04/2020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'Grafiek opp wat afstand'!$K$68:$P$68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afstand'!$K$69:$P$69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15-464F-A590-0F30E2F37EE1}"/>
            </c:ext>
          </c:extLst>
        </c:ser>
        <c:ser>
          <c:idx val="1"/>
          <c:order val="1"/>
          <c:tx>
            <c:strRef>
              <c:f>'Grafiek opp wat afstand'!$J$70</c:f>
              <c:strCache>
                <c:ptCount val="1"/>
                <c:pt idx="0">
                  <c:v>05/01/2021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'Grafiek opp wat afstand'!$K$68:$P$68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afstand'!$K$70:$P$70</c:f>
              <c:numCache>
                <c:formatCode>0</c:formatCode>
                <c:ptCount val="6"/>
                <c:pt idx="0">
                  <c:v>501</c:v>
                </c:pt>
                <c:pt idx="1">
                  <c:v>613</c:v>
                </c:pt>
                <c:pt idx="2">
                  <c:v>650</c:v>
                </c:pt>
                <c:pt idx="3">
                  <c:v>678</c:v>
                </c:pt>
                <c:pt idx="4">
                  <c:v>686</c:v>
                </c:pt>
                <c:pt idx="5">
                  <c:v>710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15-464F-A590-0F30E2F37EE1}"/>
            </c:ext>
          </c:extLst>
        </c:ser>
        <c:ser>
          <c:idx val="2"/>
          <c:order val="2"/>
          <c:tx>
            <c:strRef>
              <c:f>'Grafiek opp wat afstand'!$J$71</c:f>
              <c:strCache>
                <c:ptCount val="1"/>
                <c:pt idx="0">
                  <c:v>26/03/2021</c:v>
                </c:pt>
              </c:strCache>
            </c:strRef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'Grafiek opp wat afstand'!$K$68:$P$68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afstand'!$K$71:$P$71</c:f>
              <c:numCache>
                <c:formatCode>0</c:formatCode>
                <c:ptCount val="6"/>
                <c:pt idx="0">
                  <c:v>878</c:v>
                </c:pt>
                <c:pt idx="1">
                  <c:v>877</c:v>
                </c:pt>
                <c:pt idx="2">
                  <c:v>878</c:v>
                </c:pt>
                <c:pt idx="3">
                  <c:v>881</c:v>
                </c:pt>
                <c:pt idx="4">
                  <c:v>888</c:v>
                </c:pt>
                <c:pt idx="5">
                  <c:v>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15-464F-A590-0F30E2F37EE1}"/>
            </c:ext>
          </c:extLst>
        </c:ser>
        <c:ser>
          <c:idx val="3"/>
          <c:order val="3"/>
          <c:tx>
            <c:strRef>
              <c:f>'Grafiek opp wat afstand'!$J$72</c:f>
              <c:strCache>
                <c:ptCount val="1"/>
                <c:pt idx="0">
                  <c:v>02/06/2021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'Grafiek opp wat afstand'!$K$68:$P$68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afstand'!$K$72:$P$72</c:f>
              <c:numCache>
                <c:formatCode>0</c:formatCode>
                <c:ptCount val="6"/>
                <c:pt idx="0">
                  <c:v>844</c:v>
                </c:pt>
                <c:pt idx="1">
                  <c:v>886</c:v>
                </c:pt>
                <c:pt idx="2">
                  <c:v>839</c:v>
                </c:pt>
                <c:pt idx="3">
                  <c:v>850</c:v>
                </c:pt>
                <c:pt idx="4">
                  <c:v>887</c:v>
                </c:pt>
                <c:pt idx="5">
                  <c:v>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15-464F-A590-0F30E2F37EE1}"/>
            </c:ext>
          </c:extLst>
        </c:ser>
        <c:ser>
          <c:idx val="4"/>
          <c:order val="4"/>
          <c:tx>
            <c:strRef>
              <c:f>'Grafiek opp wat afstand'!$J$73</c:f>
              <c:strCache>
                <c:ptCount val="1"/>
                <c:pt idx="0">
                  <c:v>27/09/2021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'Grafiek opp wat afstand'!$K$68:$P$68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afstand'!$K$73:$P$73</c:f>
              <c:numCache>
                <c:formatCode>0</c:formatCode>
                <c:ptCount val="6"/>
                <c:pt idx="0">
                  <c:v>449</c:v>
                </c:pt>
                <c:pt idx="1">
                  <c:v>448</c:v>
                </c:pt>
                <c:pt idx="2">
                  <c:v>450</c:v>
                </c:pt>
                <c:pt idx="3">
                  <c:v>457</c:v>
                </c:pt>
                <c:pt idx="4">
                  <c:v>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15-464F-A590-0F30E2F37EE1}"/>
            </c:ext>
          </c:extLst>
        </c:ser>
        <c:ser>
          <c:idx val="5"/>
          <c:order val="5"/>
          <c:tx>
            <c:strRef>
              <c:f>'Grafiek opp wat afstand'!$J$74</c:f>
              <c:strCache>
                <c:ptCount val="1"/>
                <c:pt idx="0">
                  <c:v>06/01/2022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'Grafiek opp wat afstand'!$K$68:$P$68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afstand'!$K$74:$P$74</c:f>
              <c:numCache>
                <c:formatCode>0</c:formatCode>
                <c:ptCount val="6"/>
                <c:pt idx="0">
                  <c:v>980</c:v>
                </c:pt>
                <c:pt idx="1">
                  <c:v>858</c:v>
                </c:pt>
                <c:pt idx="2">
                  <c:v>785</c:v>
                </c:pt>
                <c:pt idx="3">
                  <c:v>781</c:v>
                </c:pt>
                <c:pt idx="4">
                  <c:v>791</c:v>
                </c:pt>
                <c:pt idx="5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C15-464F-A590-0F30E2F37EE1}"/>
            </c:ext>
          </c:extLst>
        </c:ser>
        <c:ser>
          <c:idx val="6"/>
          <c:order val="6"/>
          <c:tx>
            <c:strRef>
              <c:f>'Grafiek opp wat afstand'!$J$75</c:f>
              <c:strCache>
                <c:ptCount val="1"/>
                <c:pt idx="0">
                  <c:v>17/05/2022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afstand'!$K$68:$P$68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afstand'!$K$75:$P$75</c:f>
              <c:numCache>
                <c:formatCode>0</c:formatCode>
                <c:ptCount val="6"/>
                <c:pt idx="0">
                  <c:v>1223</c:v>
                </c:pt>
                <c:pt idx="1">
                  <c:v>1202</c:v>
                </c:pt>
                <c:pt idx="2">
                  <c:v>1221</c:v>
                </c:pt>
                <c:pt idx="3">
                  <c:v>1210</c:v>
                </c:pt>
                <c:pt idx="4">
                  <c:v>1204</c:v>
                </c:pt>
                <c:pt idx="5">
                  <c:v>1389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C15-464F-A590-0F30E2F37EE1}"/>
            </c:ext>
          </c:extLst>
        </c:ser>
        <c:ser>
          <c:idx val="7"/>
          <c:order val="7"/>
          <c:tx>
            <c:strRef>
              <c:f>'Grafiek opp wat afstand'!$J$76</c:f>
              <c:strCache>
                <c:ptCount val="1"/>
                <c:pt idx="0">
                  <c:v>12/07/2022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afstand'!$K$68:$P$68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afstand'!$K$76:$P$76</c:f>
              <c:numCache>
                <c:formatCode>0</c:formatCode>
                <c:ptCount val="6"/>
                <c:pt idx="0">
                  <c:v>1012</c:v>
                </c:pt>
                <c:pt idx="1">
                  <c:v>1059</c:v>
                </c:pt>
                <c:pt idx="2">
                  <c:v>1147</c:v>
                </c:pt>
                <c:pt idx="3">
                  <c:v>1014</c:v>
                </c:pt>
                <c:pt idx="4">
                  <c:v>1037</c:v>
                </c:pt>
                <c:pt idx="5">
                  <c:v>1539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C15-464F-A590-0F30E2F37EE1}"/>
            </c:ext>
          </c:extLst>
        </c:ser>
        <c:ser>
          <c:idx val="8"/>
          <c:order val="8"/>
          <c:tx>
            <c:strRef>
              <c:f>'Grafiek opp wat afstand'!$J$77</c:f>
              <c:strCache>
                <c:ptCount val="1"/>
                <c:pt idx="0">
                  <c:v>26/10/2022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'Grafiek opp wat afstand'!$K$68:$P$68</c:f>
              <c:numCache>
                <c:formatCode>General</c:formatCode>
                <c:ptCount val="6"/>
                <c:pt idx="0">
                  <c:v>201</c:v>
                </c:pt>
                <c:pt idx="1">
                  <c:v>203</c:v>
                </c:pt>
                <c:pt idx="2">
                  <c:v>205</c:v>
                </c:pt>
                <c:pt idx="3">
                  <c:v>206</c:v>
                </c:pt>
                <c:pt idx="4">
                  <c:v>207</c:v>
                </c:pt>
                <c:pt idx="5">
                  <c:v>208</c:v>
                </c:pt>
              </c:numCache>
            </c:numRef>
          </c:cat>
          <c:val>
            <c:numRef>
              <c:f>'Grafiek opp wat afstand'!$K$77:$P$77</c:f>
              <c:numCache>
                <c:formatCode>0</c:formatCode>
                <c:ptCount val="6"/>
                <c:pt idx="0">
                  <c:v>745</c:v>
                </c:pt>
                <c:pt idx="1">
                  <c:v>746</c:v>
                </c:pt>
                <c:pt idx="2">
                  <c:v>746</c:v>
                </c:pt>
                <c:pt idx="3">
                  <c:v>741</c:v>
                </c:pt>
                <c:pt idx="4">
                  <c:v>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EE-4B11-8510-A5364D527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957632"/>
        <c:axId val="697961896"/>
      </c:lineChart>
      <c:dateAx>
        <c:axId val="6979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61896"/>
        <c:crosses val="autoZero"/>
        <c:auto val="1"/>
        <c:lblOffset val="100"/>
        <c:baseTimeUnit val="months"/>
        <c:majorUnit val="1"/>
        <c:majorTimeUnit val="months"/>
        <c:minorUnit val="2"/>
        <c:minorTimeUnit val="months"/>
      </c:dateAx>
      <c:valAx>
        <c:axId val="697961896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7957632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11" Type="http://schemas.openxmlformats.org/officeDocument/2006/relationships/chart" Target="../charts/chart20.xml"/><Relationship Id="rId5" Type="http://schemas.openxmlformats.org/officeDocument/2006/relationships/chart" Target="../charts/chart14.xml"/><Relationship Id="rId10" Type="http://schemas.openxmlformats.org/officeDocument/2006/relationships/chart" Target="../charts/chart19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0</xdr:colOff>
      <xdr:row>27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BC2BC4-E73E-4EF3-BFCB-16A0A18CD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0</xdr:colOff>
      <xdr:row>27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79ED70E-A65B-43E7-898C-68AFA43DC6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609599</xdr:colOff>
      <xdr:row>13</xdr:row>
      <xdr:rowOff>0</xdr:rowOff>
    </xdr:from>
    <xdr:to>
      <xdr:col>20</xdr:col>
      <xdr:colOff>600074</xdr:colOff>
      <xdr:row>27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3CCB827-92BF-40D1-9251-C7F0D71384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0</xdr:colOff>
      <xdr:row>13</xdr:row>
      <xdr:rowOff>0</xdr:rowOff>
    </xdr:from>
    <xdr:to>
      <xdr:col>27</xdr:col>
      <xdr:colOff>590550</xdr:colOff>
      <xdr:row>27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0C37CA1-5402-4EE8-99DF-6ADE786F0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6</xdr:col>
      <xdr:colOff>590550</xdr:colOff>
      <xdr:row>56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51C56E7-CB00-4CB8-A9C5-BC1D57CC52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628649</xdr:colOff>
      <xdr:row>42</xdr:row>
      <xdr:rowOff>0</xdr:rowOff>
    </xdr:from>
    <xdr:to>
      <xdr:col>13</xdr:col>
      <xdr:colOff>600074</xdr:colOff>
      <xdr:row>56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BF5E85E-CDCF-4782-8E9B-789A024A77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609599</xdr:colOff>
      <xdr:row>42</xdr:row>
      <xdr:rowOff>0</xdr:rowOff>
    </xdr:from>
    <xdr:to>
      <xdr:col>20</xdr:col>
      <xdr:colOff>600074</xdr:colOff>
      <xdr:row>56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8F2B57-8876-42D1-98E8-1B3E44C63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609599</xdr:colOff>
      <xdr:row>42</xdr:row>
      <xdr:rowOff>0</xdr:rowOff>
    </xdr:from>
    <xdr:to>
      <xdr:col>27</xdr:col>
      <xdr:colOff>600074</xdr:colOff>
      <xdr:row>56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022F304-C8B2-4A85-BA46-D321580124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609599</xdr:colOff>
      <xdr:row>42</xdr:row>
      <xdr:rowOff>0</xdr:rowOff>
    </xdr:from>
    <xdr:to>
      <xdr:col>35</xdr:col>
      <xdr:colOff>600074</xdr:colOff>
      <xdr:row>56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8924B49-9E1B-45F3-A3A4-B070D1E40B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24764</xdr:colOff>
      <xdr:row>10</xdr:row>
      <xdr:rowOff>8572</xdr:rowOff>
    </xdr:from>
    <xdr:to>
      <xdr:col>9</xdr:col>
      <xdr:colOff>561974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A2E4F9-6EFD-471A-94CF-8774D602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9</xdr:row>
      <xdr:rowOff>238124</xdr:rowOff>
    </xdr:from>
    <xdr:to>
      <xdr:col>58</xdr:col>
      <xdr:colOff>9525</xdr:colOff>
      <xdr:row>26</xdr:row>
      <xdr:rowOff>9524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7D1EA52-F6BA-4A5B-8A42-6E10C9331F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73</xdr:col>
      <xdr:colOff>0</xdr:colOff>
      <xdr:row>10</xdr:row>
      <xdr:rowOff>0</xdr:rowOff>
    </xdr:from>
    <xdr:to>
      <xdr:col>82</xdr:col>
      <xdr:colOff>19050</xdr:colOff>
      <xdr:row>26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229E7B0-07D8-4843-9CCF-C0C17D9620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36</xdr:row>
      <xdr:rowOff>238124</xdr:rowOff>
    </xdr:from>
    <xdr:to>
      <xdr:col>9</xdr:col>
      <xdr:colOff>514349</xdr:colOff>
      <xdr:row>53</xdr:row>
      <xdr:rowOff>9524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369D23A-C1F8-4140-B750-179856F6A8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37</xdr:row>
      <xdr:rowOff>0</xdr:rowOff>
    </xdr:from>
    <xdr:to>
      <xdr:col>34</xdr:col>
      <xdr:colOff>247650</xdr:colOff>
      <xdr:row>53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FC6443B-C9C0-4F3E-AFD6-F43BA756D4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36</xdr:row>
      <xdr:rowOff>238124</xdr:rowOff>
    </xdr:from>
    <xdr:to>
      <xdr:col>58</xdr:col>
      <xdr:colOff>9525</xdr:colOff>
      <xdr:row>52</xdr:row>
      <xdr:rowOff>180974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3FF3CC-6943-4991-8A82-3A1267470E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73</xdr:col>
      <xdr:colOff>0</xdr:colOff>
      <xdr:row>36</xdr:row>
      <xdr:rowOff>238124</xdr:rowOff>
    </xdr:from>
    <xdr:to>
      <xdr:col>82</xdr:col>
      <xdr:colOff>0</xdr:colOff>
      <xdr:row>53</xdr:row>
      <xdr:rowOff>9524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A29D70D-0327-457B-93A7-1374ED470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0</xdr:colOff>
      <xdr:row>9</xdr:row>
      <xdr:rowOff>238124</xdr:rowOff>
    </xdr:from>
    <xdr:to>
      <xdr:col>34</xdr:col>
      <xdr:colOff>257175</xdr:colOff>
      <xdr:row>25</xdr:row>
      <xdr:rowOff>180974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703173C-8976-4E58-B989-2DBD4FA62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61</xdr:row>
      <xdr:rowOff>238124</xdr:rowOff>
    </xdr:from>
    <xdr:to>
      <xdr:col>9</xdr:col>
      <xdr:colOff>466725</xdr:colOff>
      <xdr:row>77</xdr:row>
      <xdr:rowOff>161924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615555B-97F3-4419-9F90-4C5C5928FF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0</xdr:colOff>
      <xdr:row>62</xdr:row>
      <xdr:rowOff>0</xdr:rowOff>
    </xdr:from>
    <xdr:to>
      <xdr:col>33</xdr:col>
      <xdr:colOff>552450</xdr:colOff>
      <xdr:row>77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8F15332-FDDF-4501-BB41-6DE7B741A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38</xdr:col>
      <xdr:colOff>0</xdr:colOff>
      <xdr:row>62</xdr:row>
      <xdr:rowOff>0</xdr:rowOff>
    </xdr:from>
    <xdr:to>
      <xdr:col>47</xdr:col>
      <xdr:colOff>333375</xdr:colOff>
      <xdr:row>77</xdr:row>
      <xdr:rowOff>161925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B592918-55E2-4FE8-BF2A-B124663498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190499</xdr:rowOff>
    </xdr:from>
    <xdr:to>
      <xdr:col>9</xdr:col>
      <xdr:colOff>0</xdr:colOff>
      <xdr:row>32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987B41-2A4C-4918-93F9-E3570FBFF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17</xdr:row>
      <xdr:rowOff>0</xdr:rowOff>
    </xdr:from>
    <xdr:to>
      <xdr:col>18</xdr:col>
      <xdr:colOff>0</xdr:colOff>
      <xdr:row>32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3E77D2-42AB-47E1-8756-780B5A3970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0</xdr:colOff>
      <xdr:row>16</xdr:row>
      <xdr:rowOff>190499</xdr:rowOff>
    </xdr:from>
    <xdr:to>
      <xdr:col>27</xdr:col>
      <xdr:colOff>0</xdr:colOff>
      <xdr:row>31</xdr:row>
      <xdr:rowOff>180974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6D965BF-0936-4BBA-82AF-20B3C5E744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0</xdr:colOff>
      <xdr:row>17</xdr:row>
      <xdr:rowOff>0</xdr:rowOff>
    </xdr:from>
    <xdr:to>
      <xdr:col>36</xdr:col>
      <xdr:colOff>0</xdr:colOff>
      <xdr:row>32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4CFA3BE-C55F-4A32-8A3C-3EAC45E41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9</xdr:col>
      <xdr:colOff>0</xdr:colOff>
      <xdr:row>64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2C5B987-E3F9-40AF-907C-C8A66EBBA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49</xdr:row>
      <xdr:rowOff>0</xdr:rowOff>
    </xdr:from>
    <xdr:to>
      <xdr:col>18</xdr:col>
      <xdr:colOff>0</xdr:colOff>
      <xdr:row>64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74437302-F25B-4053-89CB-91A98DA8DE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48</xdr:row>
      <xdr:rowOff>190499</xdr:rowOff>
    </xdr:from>
    <xdr:to>
      <xdr:col>27</xdr:col>
      <xdr:colOff>0</xdr:colOff>
      <xdr:row>63</xdr:row>
      <xdr:rowOff>180974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F9B9118C-E175-4206-9120-1FD666EB38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0</xdr:colOff>
      <xdr:row>49</xdr:row>
      <xdr:rowOff>0</xdr:rowOff>
    </xdr:from>
    <xdr:to>
      <xdr:col>36</xdr:col>
      <xdr:colOff>0</xdr:colOff>
      <xdr:row>64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0CDCC7E-73AE-449F-BF3F-13C8ACA9B4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77</xdr:row>
      <xdr:rowOff>190499</xdr:rowOff>
    </xdr:from>
    <xdr:to>
      <xdr:col>9</xdr:col>
      <xdr:colOff>0</xdr:colOff>
      <xdr:row>92</xdr:row>
      <xdr:rowOff>180974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6598FC18-0385-4083-B23B-4B3E899679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78</xdr:row>
      <xdr:rowOff>0</xdr:rowOff>
    </xdr:from>
    <xdr:to>
      <xdr:col>18</xdr:col>
      <xdr:colOff>0</xdr:colOff>
      <xdr:row>93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F08CEE7-1572-42B9-9976-91B301A21D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kensr.local\bvba\1265397\WP3%20Case%20De%20Lieve\Monitorings-%20en%20onderhoudsprogramma\Meetresultaten%20tm%20januari%202022\Tabel%20staalnames%20De%20Lieve%2020210204%20TAUW%20aangevuld_RSK_20210628%20juni%2020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ilbuizen"/>
      <sheetName val="Waterbodem"/>
      <sheetName val="Oppervlaktewater"/>
      <sheetName val="Grafiek opp wat boven mat"/>
      <sheetName val="Grafiek opp wat afstand"/>
      <sheetName val="Logboek"/>
    </sheetNames>
    <sheetDataSet>
      <sheetData sheetId="0"/>
      <sheetData sheetId="1"/>
      <sheetData sheetId="2">
        <row r="8">
          <cell r="J8">
            <v>21.6</v>
          </cell>
          <cell r="S8">
            <v>21.3</v>
          </cell>
          <cell r="AB8">
            <v>23</v>
          </cell>
          <cell r="AH8">
            <v>23.9</v>
          </cell>
          <cell r="AN8">
            <v>23.1</v>
          </cell>
          <cell r="AT8">
            <v>23.7</v>
          </cell>
        </row>
        <row r="9">
          <cell r="J9">
            <v>7.26</v>
          </cell>
          <cell r="S9">
            <v>7.42</v>
          </cell>
          <cell r="AB9">
            <v>7.58</v>
          </cell>
          <cell r="AH9">
            <v>7.58</v>
          </cell>
          <cell r="AN9">
            <v>7.68</v>
          </cell>
          <cell r="AT9">
            <v>7.69</v>
          </cell>
        </row>
        <row r="10">
          <cell r="J10">
            <v>844</v>
          </cell>
          <cell r="S10">
            <v>886</v>
          </cell>
          <cell r="AB10">
            <v>839</v>
          </cell>
          <cell r="AH10">
            <v>850</v>
          </cell>
          <cell r="AN10">
            <v>887</v>
          </cell>
          <cell r="AT10">
            <v>944</v>
          </cell>
        </row>
        <row r="11">
          <cell r="J11">
            <v>31</v>
          </cell>
          <cell r="S11">
            <v>88.4</v>
          </cell>
          <cell r="AB11">
            <v>78.7</v>
          </cell>
          <cell r="AH11">
            <v>81.3</v>
          </cell>
          <cell r="AN11">
            <v>72.900000000000006</v>
          </cell>
          <cell r="AT11">
            <v>87.4</v>
          </cell>
        </row>
        <row r="12">
          <cell r="H12">
            <v>2.0299999999999998</v>
          </cell>
          <cell r="J12">
            <v>3.73</v>
          </cell>
          <cell r="Q12">
            <v>2.64</v>
          </cell>
          <cell r="S12">
            <v>6.16</v>
          </cell>
          <cell r="Z12">
            <v>2.5099999999999998</v>
          </cell>
          <cell r="AB12">
            <v>6.74</v>
          </cell>
          <cell r="AF12">
            <v>2.58</v>
          </cell>
          <cell r="AH12">
            <v>8.25</v>
          </cell>
          <cell r="AL12">
            <v>3.27</v>
          </cell>
          <cell r="AN12">
            <v>9.51</v>
          </cell>
          <cell r="AR12">
            <v>3.4</v>
          </cell>
          <cell r="AT12">
            <v>5.43</v>
          </cell>
        </row>
      </sheetData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B2:BG62" headerRowDxfId="656" dataDxfId="655" totalsRowDxfId="654">
  <tableColumns count="58">
    <tableColumn id="1" xr3:uid="{00000000-0010-0000-0000-000001000000}" name="Watermonster" dataDxfId="653"/>
    <tableColumn id="2" xr3:uid="{00000000-0010-0000-0000-000002000000}" name="S" dataDxfId="652"/>
    <tableColumn id="3" xr3:uid="{00000000-0010-0000-0000-000003000000}" name="RW" dataDxfId="651"/>
    <tableColumn id="4" xr3:uid="{00000000-0010-0000-0000-000004000000}" name="80% BSN" dataDxfId="650"/>
    <tableColumn id="5" xr3:uid="{00000000-0010-0000-0000-000005000000}" name="BSN" dataDxfId="649"/>
    <tableColumn id="7" xr3:uid="{00000000-0010-0000-0000-000007000000}" name="Eenheid" dataDxfId="648"/>
    <tableColumn id="17" xr3:uid="{00000000-0010-0000-0000-000011000000}" name="Column1" dataDxfId="647"/>
    <tableColumn id="18" xr3:uid="{00000000-0010-0000-0000-000012000000}" name="Column2" dataDxfId="646"/>
    <tableColumn id="10" xr3:uid="{00000000-0010-0000-0000-00000A000000}" name="Column3" dataDxfId="645"/>
    <tableColumn id="27" xr3:uid="{97EB1DAC-8B8C-40BC-90F8-87E77E06EAA9}" name="Column32" dataDxfId="644"/>
    <tableColumn id="11" xr3:uid="{00000000-0010-0000-0000-00000B000000}" name="Column4" dataDxfId="643"/>
    <tableColumn id="14" xr3:uid="{3383E882-C5DA-44EF-8FC0-98F8C18AF98D}" name="Column42" dataDxfId="642"/>
    <tableColumn id="35" xr3:uid="{121983BB-8D91-454B-8CB1-80D1F868581C}" name="Column43" dataDxfId="641"/>
    <tableColumn id="30" xr3:uid="{C64334BF-DBAA-4462-852A-272CED507D75}" name="Column44" dataDxfId="640"/>
    <tableColumn id="43" xr3:uid="{1840D3C7-2145-4926-87EB-2311A6109175}" name="Column442" dataDxfId="639"/>
    <tableColumn id="47" xr3:uid="{3294BE7E-8272-4734-B6E4-989012981942}" name="Column443" dataDxfId="638"/>
    <tableColumn id="51" xr3:uid="{98EE85C6-2DF7-41F9-8431-C7BEA1CF1B81}" name="Column444" dataDxfId="637"/>
    <tableColumn id="42" xr3:uid="{30F60B65-5CE1-40C7-A01E-851A7617AF9B}" name="Column45" dataDxfId="636"/>
    <tableColumn id="52" xr3:uid="{5941A4B5-C40E-4133-9519-C061B159CA0D}" name="Column46" dataDxfId="635"/>
    <tableColumn id="20" xr3:uid="{00000000-0010-0000-0000-000014000000}" name="Column5" dataDxfId="634"/>
    <tableColumn id="19" xr3:uid="{00000000-0010-0000-0000-000013000000}" name="Column6" dataDxfId="633"/>
    <tableColumn id="12" xr3:uid="{00000000-0010-0000-0000-00000C000000}" name="Column7" dataDxfId="632"/>
    <tableColumn id="26" xr3:uid="{E830C699-0CDA-43F1-93A1-F12E52A4685B}" name="Column72" dataDxfId="631"/>
    <tableColumn id="13" xr3:uid="{00000000-0010-0000-0000-00000D000000}" name="Column8" dataDxfId="630"/>
    <tableColumn id="28" xr3:uid="{5F7BBC8C-BD49-4898-8FDC-730336B3DFEC}" name="Column82" dataDxfId="629"/>
    <tableColumn id="32" xr3:uid="{38B08724-72D7-491D-9432-C0D187794DBB}" name="Column83" dataDxfId="628"/>
    <tableColumn id="36" xr3:uid="{AD3ED021-E309-4C74-9DD8-4C6797F82ECE}" name="Column20" dataDxfId="627"/>
    <tableColumn id="44" xr3:uid="{AC76C3F1-7415-4993-BE3B-726FFE870ED5}" name="Column203" dataDxfId="626"/>
    <tableColumn id="48" xr3:uid="{39256922-69E7-444C-A9EB-25674580075F}" name="Column204" dataDxfId="625"/>
    <tableColumn id="53" xr3:uid="{46606CF3-18E9-4444-B61A-A2198674A58E}" name="Column205" dataDxfId="624"/>
    <tableColumn id="41" xr3:uid="{1D2EA69B-799F-4E8C-BFF7-5CEFB54053B8}" name="Column202" dataDxfId="623"/>
    <tableColumn id="56" xr3:uid="{956EE952-67A4-4358-B7FC-1A2292D073E4}" name="Column2022" dataDxfId="622"/>
    <tableColumn id="22" xr3:uid="{00000000-0010-0000-0000-000016000000}" name="Column9" dataDxfId="621"/>
    <tableColumn id="21" xr3:uid="{00000000-0010-0000-0000-000015000000}" name="Column10" dataDxfId="620"/>
    <tableColumn id="15" xr3:uid="{00000000-0010-0000-0000-00000F000000}" name="Column11" dataDxfId="619"/>
    <tableColumn id="25" xr3:uid="{A6806827-470F-493F-9C9F-D6B6C02CA48C}" name="Column112" dataDxfId="618"/>
    <tableColumn id="16" xr3:uid="{00000000-0010-0000-0000-000010000000}" name="Column12" dataDxfId="617"/>
    <tableColumn id="29" xr3:uid="{ED7B99EE-D1C7-4A13-B093-E96455ADD8AE}" name="Column122" dataDxfId="616"/>
    <tableColumn id="37" xr3:uid="{5EC60834-94AF-4BA9-BC73-B3B0AA2D907B}" name="Column123" dataDxfId="615"/>
    <tableColumn id="33" xr3:uid="{026E381F-C34B-4467-B116-9FC07982CE4E}" name="Column124" dataDxfId="614"/>
    <tableColumn id="46" xr3:uid="{278E65B5-7F37-4FAA-9AAF-0A3BB7E0C235}" name="Column1242" dataDxfId="613"/>
    <tableColumn id="49" xr3:uid="{FD409977-252A-41B9-887B-5D4BE3CC296A}" name="Column1243" dataDxfId="612"/>
    <tableColumn id="54" xr3:uid="{0F39E960-ACE0-4640-9B7E-C728F374C2D9}" name="Column1244" dataDxfId="611"/>
    <tableColumn id="40" xr3:uid="{6A624CAD-7DC5-4876-88C5-A43BD5520AD6}" name="Column125" dataDxfId="610"/>
    <tableColumn id="57" xr3:uid="{C4464997-C5BF-4193-90E3-F7A6407998CF}" name="Column126" dataDxfId="609"/>
    <tableColumn id="24" xr3:uid="{00000000-0010-0000-0000-000018000000}" name="Column13" dataDxfId="608"/>
    <tableColumn id="23" xr3:uid="{00000000-0010-0000-0000-000017000000}" name="Column14" dataDxfId="607"/>
    <tableColumn id="8" xr3:uid="{00000000-0010-0000-0000-000008000000}" name="Column15" dataDxfId="606"/>
    <tableColumn id="9" xr3:uid="{00000000-0010-0000-0000-000009000000}" name="Column16" dataDxfId="605"/>
    <tableColumn id="6" xr3:uid="{15E088DA-FCA8-4249-93F2-761663C73681}" name="Column17" dataDxfId="604"/>
    <tableColumn id="31" xr3:uid="{81BAF6B5-7017-48B0-BF1D-97F0669B7D85}" name="Column18" dataDxfId="603"/>
    <tableColumn id="34" xr3:uid="{45D7E9F4-C21A-41FD-9DC7-B8B516E5B06F}" name="Column19" dataDxfId="602"/>
    <tableColumn id="38" xr3:uid="{C56C118D-CF32-42F8-B530-9DE2B1294A5B}" name="Column21" dataDxfId="601"/>
    <tableColumn id="45" xr3:uid="{C3036A3F-6110-4CD7-BE1B-7E868287F9AD}" name="Column22" dataDxfId="600"/>
    <tableColumn id="50" xr3:uid="{6350592B-9E0C-4CC9-A58F-A02F88E1B428}" name="Column23" dataDxfId="599"/>
    <tableColumn id="55" xr3:uid="{9E560A82-9E8B-41BD-A82E-96E811A1C56E}" name="Column24" dataDxfId="598"/>
    <tableColumn id="39" xr3:uid="{A6D344A1-E42E-4714-A698-85FD4FDBDBD8}" name="Column192" dataDxfId="597"/>
    <tableColumn id="58" xr3:uid="{451098A5-1E72-47A6-9325-159CBC8BCC78}" name="Column193" dataDxfId="596" totalsRowDxfId="595"/>
  </tableColumns>
  <tableStyleInfo name="Tabelstijl_Brusse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35" displayName="Table35" ref="B66:B70">
  <tableColumns count="1">
    <tableColumn id="1" xr3:uid="{00000000-0010-0000-0100-000001000000}" name="Legend e Vlarebo"/>
  </tableColumns>
  <tableStyleInfo name="Tabelstijl_Brusse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22" displayName="Table22" ref="A2:CA45">
  <tableColumns count="79">
    <tableColumn id="1" xr3:uid="{00000000-0010-0000-0200-000001000000}" name="Watermonster"/>
    <tableColumn id="2" xr3:uid="{00000000-0010-0000-0200-000002000000}" name="Environmental quality standard maximum (MAC-MKN)*" dataDxfId="165"/>
    <tableColumn id="3" xr3:uid="{00000000-0010-0000-0200-000003000000}" name="Environmental quality standard average (JG-MKN)*" dataDxfId="164"/>
    <tableColumn id="7" xr3:uid="{00000000-0010-0000-0200-000007000000}" name="Eenheid" dataDxfId="163"/>
    <tableColumn id="8" xr3:uid="{00000000-0010-0000-0200-000008000000}" name="201-1" dataDxfId="162"/>
    <tableColumn id="4" xr3:uid="{C4FAFB71-FFAF-469F-AB38-4FA078078874}" name="201-2" dataDxfId="161"/>
    <tableColumn id="9" xr3:uid="{00000000-0010-0000-0200-000009000000}" name="201-3" dataDxfId="160"/>
    <tableColumn id="31" xr3:uid="{673EC02A-1A8C-4311-8C04-3B81115C99F3}" name="201-4" dataDxfId="159"/>
    <tableColumn id="38" xr3:uid="{BEFE47ED-2557-4D9C-B4D7-AD6640C19796}" name="201-5" dataDxfId="158"/>
    <tableColumn id="39" xr3:uid="{A2A3888A-6161-4BEA-8730-97A29F7D31E4}" name="201-6" dataDxfId="157"/>
    <tableColumn id="50" xr3:uid="{6D8D0F04-B394-4AD7-B0DF-7E3ED73B90E6}" name="201-7" dataDxfId="156"/>
    <tableColumn id="57" xr3:uid="{4E60B92A-8FD0-4A03-9C45-A1340E1FDBB9}" name="201-8" dataDxfId="155"/>
    <tableColumn id="51" xr3:uid="{4A4C9EE3-CC7B-42BF-80B8-21A065872C7F}" name="201-9" dataDxfId="154"/>
    <tableColumn id="68" xr3:uid="{6FAE385B-8BB5-4E2B-99B9-E4ACA5C733E2}" name="201-10" dataDxfId="153"/>
    <tableColumn id="74" xr3:uid="{17D5A0CE-03BD-4442-A0FC-0AF39F7268B6}" name="201-11" dataDxfId="152"/>
    <tableColumn id="10" xr3:uid="{00000000-0010-0000-0200-00000A000000}" name="202-1" dataDxfId="151"/>
    <tableColumn id="5" xr3:uid="{819FA512-86F6-45E4-B089-99B48EFA806C}" name="202-2" dataDxfId="150"/>
    <tableColumn id="11" xr3:uid="{00000000-0010-0000-0200-00000B000000}" name="202-3" dataDxfId="149"/>
    <tableColumn id="12" xr3:uid="{00000000-0010-0000-0200-00000C000000}" name="203-1" dataDxfId="148"/>
    <tableColumn id="6" xr3:uid="{1FD574BE-89D5-472C-A0FC-EE4EBF266550}" name="203-2" dataDxfId="147"/>
    <tableColumn id="13" xr3:uid="{00000000-0010-0000-0200-00000D000000}" name="203-3" dataDxfId="146"/>
    <tableColumn id="32" xr3:uid="{555A7DC4-3AFB-400C-807B-1F454BBAA7B8}" name="203-4" dataDxfId="145"/>
    <tableColumn id="40" xr3:uid="{404F5A04-9DA7-4A8D-A1D8-E473B1F9AE4D}" name="203-5" dataDxfId="144"/>
    <tableColumn id="41" xr3:uid="{8AFCBCAE-D5A2-4610-AD01-4984722E44B8}" name="203-6" dataDxfId="143"/>
    <tableColumn id="58" xr3:uid="{D50FF307-916A-4625-94EA-DE8C64A1B232}" name="203-7" dataDxfId="142"/>
    <tableColumn id="52" xr3:uid="{0654C9F7-A129-4362-8101-8D041688A497}" name="203-8" dataDxfId="141"/>
    <tableColumn id="63" xr3:uid="{768AA4DE-EA0D-4827-A8E8-0282AB3BF619}" name="203-9" dataDxfId="140"/>
    <tableColumn id="69" xr3:uid="{E67AB4A0-CCEF-4F90-A82E-09755BB08BF3}" name="203-10" dataDxfId="139"/>
    <tableColumn id="75" xr3:uid="{FE4B1210-2F4F-4F1D-9528-3044E2AF23B8}" name="203-11" dataDxfId="138"/>
    <tableColumn id="14" xr3:uid="{00000000-0010-0000-0200-00000E000000}" name="204-1" dataDxfId="137"/>
    <tableColumn id="24" xr3:uid="{B7B261FB-FAC1-4091-B8DB-EA8AA6FE0F0D}" name="204-2" dataDxfId="136"/>
    <tableColumn id="15" xr3:uid="{00000000-0010-0000-0200-00000F000000}" name="204-3" dataDxfId="135"/>
    <tableColumn id="16" xr3:uid="{00000000-0010-0000-0200-000010000000}" name="205-1" dataDxfId="134"/>
    <tableColumn id="25" xr3:uid="{EE90CEDA-4855-4B9B-8E0D-9E27F92F5C37}" name="205-2" dataDxfId="133"/>
    <tableColumn id="17" xr3:uid="{00000000-0010-0000-0200-000011000000}" name="205-3" dataDxfId="132"/>
    <tableColumn id="33" xr3:uid="{EC8C691F-3EA8-4900-BFAB-1467DB5CF0A6}" name="205-4" dataDxfId="131"/>
    <tableColumn id="42" xr3:uid="{5032CBFD-9DE0-4CB9-B490-6EC93C618DF4}" name="205-5" dataDxfId="130"/>
    <tableColumn id="46" xr3:uid="{037D6C2E-7C1A-4588-95AC-C64EAEF64B03}" name="205-6" dataDxfId="129"/>
    <tableColumn id="59" xr3:uid="{EFFC16E4-FDCD-465C-AC17-BA7C73BF2F2F}" name="205-7" dataDxfId="128"/>
    <tableColumn id="53" xr3:uid="{63D23463-7123-4095-814A-4FECF143B46B}" name="205-8" dataDxfId="127"/>
    <tableColumn id="64" xr3:uid="{952E41AF-B78B-4138-AB4B-B121B2AA94C7}" name="205-9" dataDxfId="126"/>
    <tableColumn id="70" xr3:uid="{6D897761-965F-4FC1-A31F-5FBA0A54F952}" name="205-10" dataDxfId="125"/>
    <tableColumn id="76" xr3:uid="{8F73AAAD-4318-414F-A895-79E2B076A21E}" name="205-11" dataDxfId="124"/>
    <tableColumn id="18" xr3:uid="{00000000-0010-0000-0200-000012000000}" name="206-1" dataDxfId="123"/>
    <tableColumn id="26" xr3:uid="{05F9FA9F-922D-4E38-B098-572A4E661158}" name="206-2" dataDxfId="122"/>
    <tableColumn id="19" xr3:uid="{00000000-0010-0000-0200-000013000000}" name="206-3" dataDxfId="121"/>
    <tableColumn id="34" xr3:uid="{E2FAB7DF-EC20-4B38-87A2-FFB2044B81D2}" name="206-4" dataDxfId="120"/>
    <tableColumn id="43" xr3:uid="{4B848C1A-CA79-4EE6-91E1-5F638B91585C}" name="206-5" dataDxfId="119"/>
    <tableColumn id="47" xr3:uid="{41C43FD3-F7AD-4D33-A282-FA6D084EB3A8}" name="206-6" dataDxfId="118"/>
    <tableColumn id="60" xr3:uid="{CC453DBF-9993-43F1-8853-316443C0B55A}" name="206-7" dataDxfId="117"/>
    <tableColumn id="54" xr3:uid="{3F8CE74B-7834-4DAA-B721-C598377A8D5A}" name="206-8" dataDxfId="116"/>
    <tableColumn id="65" xr3:uid="{E3598DC9-8B98-44DD-9BDA-871D5F0766E3}" name="206-9" dataDxfId="115"/>
    <tableColumn id="71" xr3:uid="{DF5E4C83-06FA-4E43-9715-85264691F146}" name="206-10" dataDxfId="114"/>
    <tableColumn id="77" xr3:uid="{CF10E070-5DC8-4E92-A358-41C7773EB2B6}" name="206-11" dataDxfId="113"/>
    <tableColumn id="20" xr3:uid="{00000000-0010-0000-0200-000014000000}" name="207-1" dataDxfId="112"/>
    <tableColumn id="27" xr3:uid="{CED1B591-D748-49CD-8BEE-400BB7B85F8D}" name="207-2" dataDxfId="111"/>
    <tableColumn id="21" xr3:uid="{00000000-0010-0000-0200-000015000000}" name="207-3" dataDxfId="110"/>
    <tableColumn id="35" xr3:uid="{7D208872-B212-4730-AA75-3E3AEFF2BE9B}" name="207-4" dataDxfId="109"/>
    <tableColumn id="44" xr3:uid="{F9F2934A-6ED2-419C-9795-ED763813D672}" name="207-5" dataDxfId="108"/>
    <tableColumn id="48" xr3:uid="{7CBFDB57-7C61-4446-95A4-7B2F48785198}" name="207-6" dataDxfId="107"/>
    <tableColumn id="61" xr3:uid="{D8AE239F-6594-4C0D-9E79-37309637DCCD}" name="207-7" dataDxfId="106"/>
    <tableColumn id="55" xr3:uid="{650857CF-55D6-499F-883C-2081E8941FDC}" name="207-8" dataDxfId="105"/>
    <tableColumn id="66" xr3:uid="{E11AF40B-2EE8-4048-923F-8A7C2389F330}" name="207-9" dataDxfId="104"/>
    <tableColumn id="72" xr3:uid="{0528496F-7DEA-48A7-80D4-47114E92C994}" name="207-10" dataDxfId="103"/>
    <tableColumn id="78" xr3:uid="{3ADB697F-DABB-4A5C-8715-829569B31B72}" name="207-11" dataDxfId="102"/>
    <tableColumn id="22" xr3:uid="{00000000-0010-0000-0200-000016000000}" name="208-1" dataDxfId="101"/>
    <tableColumn id="28" xr3:uid="{D5A2291E-9DC6-49F7-964E-EDDD16247C03}" name="208-2" dataDxfId="100"/>
    <tableColumn id="23" xr3:uid="{00000000-0010-0000-0200-000017000000}" name="208-3" dataDxfId="99"/>
    <tableColumn id="36" xr3:uid="{246322A4-B428-4AC1-B0B6-2A80A61AAEAF}" name="208-4" dataDxfId="98"/>
    <tableColumn id="45" xr3:uid="{79B6B620-5DE8-4FED-8363-E274C249FFD0}" name="208-5" dataDxfId="97"/>
    <tableColumn id="49" xr3:uid="{06333043-9B49-4120-9A98-42528FBAD338}" name="208-6" dataDxfId="96"/>
    <tableColumn id="62" xr3:uid="{79286683-6390-46F0-B887-BDE31FF77366}" name="208-7" dataDxfId="95"/>
    <tableColumn id="56" xr3:uid="{68E500FE-CADF-4B6A-A51E-C878C7DAED77}" name="208-8" dataDxfId="94"/>
    <tableColumn id="67" xr3:uid="{30A5B388-E64A-43B9-B6B3-D9E5CBD0B140}" name="208-9" dataDxfId="93"/>
    <tableColumn id="73" xr3:uid="{34C5C6EC-A7F6-4425-B714-246E76D8F133}" name="208-10" dataDxfId="92"/>
    <tableColumn id="79" xr3:uid="{BA872252-6B12-4CB2-987C-99103CD33E15}" name="208-11" dataDxfId="91"/>
    <tableColumn id="29" xr3:uid="{ABB8E270-C875-4EB4-A07F-2496CC26E416}" name="Max mat 2021" dataDxfId="90"/>
    <tableColumn id="30" xr3:uid="{7F0BECF6-FB46-458E-8162-35495E0F45F4}" name="Factor exceeded in 2022" dataDxfId="89">
      <calculatedColumnFormula>Table22[[#This Row],[Max mat 2021]]/Table22[[#This Row],[Environmental quality standard maximum (MAC-MKN)*]]</calculatedColumnFormula>
    </tableColumn>
    <tableColumn id="37" xr3:uid="{F263A157-FC91-4B19-9BFB-F4DE1F101978}" name="Factor exceeded in 2020" dataDxfId="88">
      <calculatedColumnFormula>AVERAGE(Table22[[#This Row],[208-1]:[208-3]])/Table22[[#This Row],[Environmental quality standard maximum (MAC-MKN)*]]</calculatedColumnFormula>
    </tableColumn>
  </tableColumns>
  <tableStyleInfo name="Tabelstijl_Brussel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meteoblue.com/nl/weer/historyclimate/weatherarchive/gent_belgi%c3%ab_2797656?fcstlength=1m&amp;year=2020&amp;month=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BJ70"/>
  <sheetViews>
    <sheetView tabSelected="1" topLeftCell="B1" zoomScale="80" zoomScaleNormal="80" zoomScaleSheetLayoutView="70" workbookViewId="0">
      <pane xSplit="1" ySplit="8" topLeftCell="AD9" activePane="bottomRight" state="frozen"/>
      <selection activeCell="I31" sqref="I31"/>
      <selection pane="topRight" activeCell="I31" sqref="I31"/>
      <selection pane="bottomLeft" activeCell="I31" sqref="I31"/>
      <selection pane="bottomRight" activeCell="BI15" sqref="BI15"/>
    </sheetView>
  </sheetViews>
  <sheetFormatPr defaultColWidth="14.54296875" defaultRowHeight="14.5" x14ac:dyDescent="0.35"/>
  <cols>
    <col min="1" max="1" width="14.54296875" style="1" customWidth="1"/>
    <col min="2" max="2" width="36.453125" style="1" customWidth="1"/>
    <col min="3" max="4" width="6" style="24" bestFit="1" customWidth="1"/>
    <col min="5" max="5" width="10.453125" style="24" bestFit="1" customWidth="1"/>
    <col min="6" max="6" width="6" style="24" bestFit="1" customWidth="1"/>
    <col min="7" max="7" width="9" style="1" bestFit="1" customWidth="1"/>
    <col min="8" max="8" width="13.90625" style="24" hidden="1" customWidth="1"/>
    <col min="9" max="9" width="14.453125" style="24" hidden="1" customWidth="1"/>
    <col min="10" max="10" width="13.54296875" style="24" hidden="1" customWidth="1"/>
    <col min="11" max="11" width="12" style="24" hidden="1" customWidth="1"/>
    <col min="12" max="12" width="13.453125" style="24" hidden="1" customWidth="1"/>
    <col min="13" max="13" width="11.453125" style="24" bestFit="1" customWidth="1"/>
    <col min="14" max="20" width="11.453125" style="24" customWidth="1"/>
    <col min="21" max="21" width="12.453125" style="24" hidden="1" customWidth="1"/>
    <col min="22" max="23" width="14.453125" style="24" hidden="1" customWidth="1"/>
    <col min="24" max="24" width="11.453125" style="24" hidden="1" customWidth="1"/>
    <col min="25" max="25" width="12.90625" style="24" hidden="1" customWidth="1"/>
    <col min="26" max="26" width="11.453125" style="24" bestFit="1" customWidth="1"/>
    <col min="27" max="27" width="11.453125" style="24" customWidth="1"/>
    <col min="28" max="33" width="14.54296875" style="24"/>
    <col min="34" max="34" width="12" style="24" hidden="1" customWidth="1"/>
    <col min="35" max="35" width="13.54296875" style="24" hidden="1" customWidth="1"/>
    <col min="36" max="36" width="12.90625" style="24" hidden="1" customWidth="1"/>
    <col min="37" max="37" width="12" style="24" hidden="1" customWidth="1"/>
    <col min="38" max="38" width="13.54296875" style="24" hidden="1" customWidth="1"/>
    <col min="39" max="44" width="12" style="24" customWidth="1"/>
    <col min="45" max="45" width="13.54296875" style="24" bestFit="1" customWidth="1"/>
    <col min="46" max="46" width="13.54296875" style="24" customWidth="1"/>
    <col min="47" max="47" width="10.54296875" style="24" hidden="1" customWidth="1"/>
    <col min="48" max="48" width="11.08984375" style="24" hidden="1" customWidth="1"/>
    <col min="49" max="49" width="12.54296875" style="24" hidden="1" customWidth="1"/>
    <col min="50" max="50" width="12" style="24" hidden="1" customWidth="1"/>
    <col min="51" max="51" width="13.54296875" style="24" hidden="1" customWidth="1"/>
    <col min="52" max="52" width="11.08984375" style="24" bestFit="1" customWidth="1"/>
    <col min="53" max="53" width="13.54296875" style="24" customWidth="1"/>
    <col min="54" max="57" width="13.453125" style="24" customWidth="1"/>
    <col min="58" max="58" width="13.54296875" style="24" customWidth="1"/>
    <col min="59" max="60" width="12" style="1" customWidth="1"/>
    <col min="61" max="61" width="14.54296875" style="1" customWidth="1"/>
    <col min="62" max="16384" width="14.54296875" style="1"/>
  </cols>
  <sheetData>
    <row r="1" spans="2:62" x14ac:dyDescent="0.35">
      <c r="B1" s="156"/>
      <c r="C1" s="102" t="s">
        <v>1</v>
      </c>
      <c r="D1" s="102" t="s">
        <v>2</v>
      </c>
      <c r="E1" s="102" t="s">
        <v>3</v>
      </c>
      <c r="F1" s="102" t="s">
        <v>4</v>
      </c>
      <c r="G1" s="157" t="s">
        <v>540</v>
      </c>
      <c r="H1" s="289" t="s">
        <v>62</v>
      </c>
      <c r="I1" s="288"/>
      <c r="J1" s="288"/>
      <c r="K1" s="288"/>
      <c r="L1" s="288"/>
      <c r="M1" s="288"/>
      <c r="N1" s="288"/>
      <c r="O1" s="288"/>
      <c r="P1" s="288"/>
      <c r="Q1" s="288"/>
      <c r="R1" s="288"/>
      <c r="S1" s="288"/>
      <c r="T1" s="288"/>
      <c r="U1" s="288" t="s">
        <v>63</v>
      </c>
      <c r="V1" s="288"/>
      <c r="W1" s="288"/>
      <c r="X1" s="288"/>
      <c r="Y1" s="288"/>
      <c r="Z1" s="288"/>
      <c r="AA1" s="288"/>
      <c r="AB1" s="288"/>
      <c r="AC1" s="288"/>
      <c r="AD1" s="288"/>
      <c r="AE1" s="288"/>
      <c r="AF1" s="288"/>
      <c r="AG1" s="290"/>
      <c r="AH1" s="291" t="s">
        <v>64</v>
      </c>
      <c r="AI1" s="288"/>
      <c r="AJ1" s="288"/>
      <c r="AK1" s="288"/>
      <c r="AL1" s="288"/>
      <c r="AM1" s="288"/>
      <c r="AN1" s="288"/>
      <c r="AO1" s="288"/>
      <c r="AP1" s="288"/>
      <c r="AQ1" s="288"/>
      <c r="AR1" s="288"/>
      <c r="AS1" s="288"/>
      <c r="AT1" s="288"/>
      <c r="AU1" s="288" t="s">
        <v>61</v>
      </c>
      <c r="AV1" s="288"/>
      <c r="AW1" s="288"/>
      <c r="AX1" s="288"/>
      <c r="AY1" s="288"/>
      <c r="AZ1" s="292" t="s">
        <v>61</v>
      </c>
      <c r="BA1" s="292"/>
      <c r="BB1" s="292"/>
      <c r="BC1" s="292"/>
      <c r="BD1" s="292"/>
      <c r="BE1" s="292"/>
      <c r="BF1" s="292"/>
      <c r="BG1" s="292"/>
    </row>
    <row r="2" spans="2:62" s="2" customFormat="1" hidden="1" x14ac:dyDescent="0.35">
      <c r="B2" s="6" t="s">
        <v>0</v>
      </c>
      <c r="C2" s="16" t="s">
        <v>1</v>
      </c>
      <c r="D2" s="16" t="s">
        <v>2</v>
      </c>
      <c r="E2" s="16" t="s">
        <v>3</v>
      </c>
      <c r="F2" s="16" t="s">
        <v>4</v>
      </c>
      <c r="G2" s="7" t="s">
        <v>5</v>
      </c>
      <c r="H2" s="15" t="s">
        <v>82</v>
      </c>
      <c r="I2" s="16" t="s">
        <v>83</v>
      </c>
      <c r="J2" s="16" t="s">
        <v>85</v>
      </c>
      <c r="K2" s="16" t="s">
        <v>116</v>
      </c>
      <c r="L2" s="17" t="s">
        <v>86</v>
      </c>
      <c r="M2" s="19" t="s">
        <v>356</v>
      </c>
      <c r="N2" s="16" t="s">
        <v>378</v>
      </c>
      <c r="O2" s="16" t="s">
        <v>407</v>
      </c>
      <c r="P2" s="16" t="s">
        <v>463</v>
      </c>
      <c r="Q2" s="16" t="s">
        <v>471</v>
      </c>
      <c r="R2" s="16" t="s">
        <v>490</v>
      </c>
      <c r="S2" s="16" t="s">
        <v>446</v>
      </c>
      <c r="T2" s="16" t="s">
        <v>500</v>
      </c>
      <c r="U2" s="16" t="s">
        <v>87</v>
      </c>
      <c r="V2" s="16" t="s">
        <v>88</v>
      </c>
      <c r="W2" s="16" t="s">
        <v>89</v>
      </c>
      <c r="X2" s="16" t="s">
        <v>115</v>
      </c>
      <c r="Y2" s="16" t="s">
        <v>90</v>
      </c>
      <c r="Z2" s="16" t="s">
        <v>357</v>
      </c>
      <c r="AA2" s="16" t="s">
        <v>379</v>
      </c>
      <c r="AB2" s="16" t="s">
        <v>408</v>
      </c>
      <c r="AC2" s="16" t="s">
        <v>464</v>
      </c>
      <c r="AD2" s="16" t="s">
        <v>473</v>
      </c>
      <c r="AE2" s="16" t="s">
        <v>491</v>
      </c>
      <c r="AF2" s="16" t="s">
        <v>445</v>
      </c>
      <c r="AG2" s="16" t="s">
        <v>502</v>
      </c>
      <c r="AH2" s="18" t="s">
        <v>95</v>
      </c>
      <c r="AI2" s="16" t="s">
        <v>96</v>
      </c>
      <c r="AJ2" s="16" t="s">
        <v>97</v>
      </c>
      <c r="AK2" s="16" t="s">
        <v>114</v>
      </c>
      <c r="AL2" s="19" t="s">
        <v>84</v>
      </c>
      <c r="AM2" s="19" t="s">
        <v>358</v>
      </c>
      <c r="AN2" s="16" t="s">
        <v>380</v>
      </c>
      <c r="AO2" s="16" t="s">
        <v>409</v>
      </c>
      <c r="AP2" s="16" t="s">
        <v>466</v>
      </c>
      <c r="AQ2" s="16" t="s">
        <v>474</v>
      </c>
      <c r="AR2" s="16" t="s">
        <v>492</v>
      </c>
      <c r="AS2" s="16" t="s">
        <v>444</v>
      </c>
      <c r="AT2" s="19" t="s">
        <v>503</v>
      </c>
      <c r="AU2" s="16" t="s">
        <v>98</v>
      </c>
      <c r="AV2" s="16" t="s">
        <v>99</v>
      </c>
      <c r="AW2" s="16" t="s">
        <v>100</v>
      </c>
      <c r="AX2" s="16" t="s">
        <v>101</v>
      </c>
      <c r="AY2" s="16" t="s">
        <v>111</v>
      </c>
      <c r="AZ2" s="16" t="s">
        <v>359</v>
      </c>
      <c r="BA2" s="16" t="s">
        <v>381</v>
      </c>
      <c r="BB2" s="16" t="s">
        <v>410</v>
      </c>
      <c r="BC2" s="16" t="s">
        <v>465</v>
      </c>
      <c r="BD2" s="16" t="s">
        <v>475</v>
      </c>
      <c r="BE2" s="16" t="s">
        <v>493</v>
      </c>
      <c r="BF2" s="16" t="s">
        <v>443</v>
      </c>
      <c r="BG2" s="2" t="s">
        <v>504</v>
      </c>
    </row>
    <row r="3" spans="2:62" s="2" customFormat="1" x14ac:dyDescent="0.35">
      <c r="B3" s="6"/>
      <c r="C3" s="16"/>
      <c r="D3" s="16"/>
      <c r="E3" s="16"/>
      <c r="F3" s="16"/>
      <c r="G3" s="7"/>
      <c r="H3" s="20"/>
      <c r="I3" s="21"/>
      <c r="J3" s="16"/>
      <c r="K3" s="16"/>
      <c r="L3" s="16"/>
      <c r="M3" s="16"/>
      <c r="N3" s="16"/>
      <c r="O3" s="16"/>
      <c r="P3" s="16"/>
      <c r="Q3" s="16"/>
      <c r="R3" s="16"/>
      <c r="S3" s="16"/>
      <c r="T3" s="19"/>
      <c r="U3" s="16"/>
      <c r="V3" s="16"/>
      <c r="W3" s="16"/>
      <c r="X3" s="16"/>
      <c r="Y3" s="16"/>
      <c r="Z3" s="16"/>
      <c r="AA3" s="16"/>
      <c r="AB3" s="16"/>
      <c r="AC3" s="16"/>
      <c r="AD3" s="16"/>
      <c r="AE3" s="24"/>
      <c r="AF3" s="24"/>
      <c r="AG3" s="255"/>
      <c r="AH3" s="18"/>
      <c r="AI3" s="16"/>
      <c r="AJ3" s="16"/>
      <c r="AK3" s="16"/>
      <c r="AL3" s="16"/>
      <c r="AM3" s="16"/>
      <c r="AN3" s="16"/>
      <c r="AO3" s="16"/>
      <c r="AP3" s="16"/>
      <c r="AQ3" s="102"/>
      <c r="AR3" s="37"/>
      <c r="AS3" s="37"/>
      <c r="AT3" s="38"/>
      <c r="AU3" s="16"/>
      <c r="AV3" s="16"/>
      <c r="AW3" s="16"/>
      <c r="AX3" s="16"/>
      <c r="AY3" s="16"/>
      <c r="AZ3" s="23"/>
      <c r="BA3" s="24"/>
      <c r="BB3" s="24"/>
      <c r="BC3" s="24"/>
      <c r="BD3" s="24"/>
      <c r="BE3" s="23"/>
      <c r="BF3" s="23"/>
      <c r="BG3" s="24"/>
    </row>
    <row r="4" spans="2:62" x14ac:dyDescent="0.35">
      <c r="B4" s="8" t="s">
        <v>520</v>
      </c>
      <c r="G4" s="9"/>
      <c r="H4" s="22" t="s">
        <v>6</v>
      </c>
      <c r="I4" s="23" t="s">
        <v>6</v>
      </c>
      <c r="J4" s="24" t="s">
        <v>6</v>
      </c>
      <c r="K4" s="24" t="s">
        <v>6</v>
      </c>
      <c r="L4" s="24" t="s">
        <v>6</v>
      </c>
      <c r="M4" s="131" t="s">
        <v>6</v>
      </c>
      <c r="N4" s="131" t="s">
        <v>6</v>
      </c>
      <c r="O4" s="131" t="s">
        <v>6</v>
      </c>
      <c r="P4" s="131" t="s">
        <v>6</v>
      </c>
      <c r="Q4" s="131" t="s">
        <v>6</v>
      </c>
      <c r="R4" s="131" t="s">
        <v>6</v>
      </c>
      <c r="S4" s="131">
        <v>5</v>
      </c>
      <c r="T4" s="164" t="s">
        <v>6</v>
      </c>
      <c r="U4" s="24" t="s">
        <v>6</v>
      </c>
      <c r="V4" s="24" t="s">
        <v>6</v>
      </c>
      <c r="W4" s="24" t="s">
        <v>6</v>
      </c>
      <c r="X4" s="24" t="s">
        <v>6</v>
      </c>
      <c r="Y4" s="24" t="s">
        <v>6</v>
      </c>
      <c r="Z4" s="23" t="s">
        <v>6</v>
      </c>
      <c r="AA4" s="23" t="s">
        <v>6</v>
      </c>
      <c r="AB4" s="23" t="s">
        <v>6</v>
      </c>
      <c r="AC4" s="23" t="s">
        <v>6</v>
      </c>
      <c r="AD4" s="23" t="s">
        <v>6</v>
      </c>
      <c r="AE4" s="23" t="s">
        <v>6</v>
      </c>
      <c r="AF4" s="23" t="s">
        <v>6</v>
      </c>
      <c r="AG4" s="108" t="s">
        <v>6</v>
      </c>
      <c r="AH4" s="23" t="s">
        <v>6</v>
      </c>
      <c r="AI4" s="23" t="s">
        <v>6</v>
      </c>
      <c r="AJ4" s="23" t="s">
        <v>6</v>
      </c>
      <c r="AK4" s="23" t="s">
        <v>6</v>
      </c>
      <c r="AL4" s="23" t="s">
        <v>6</v>
      </c>
      <c r="AM4" s="36" t="s">
        <v>6</v>
      </c>
      <c r="AN4" s="23" t="s">
        <v>6</v>
      </c>
      <c r="AO4" s="23" t="s">
        <v>6</v>
      </c>
      <c r="AP4" s="23" t="s">
        <v>6</v>
      </c>
      <c r="AQ4" s="23" t="s">
        <v>6</v>
      </c>
      <c r="AR4" s="23" t="s">
        <v>494</v>
      </c>
      <c r="AS4" s="23" t="s">
        <v>6</v>
      </c>
      <c r="AT4" s="108" t="s">
        <v>6</v>
      </c>
      <c r="AU4" s="24" t="s">
        <v>6</v>
      </c>
      <c r="AV4" s="24" t="s">
        <v>6</v>
      </c>
      <c r="AW4" s="24" t="s">
        <v>6</v>
      </c>
      <c r="AX4" s="24" t="s">
        <v>6</v>
      </c>
      <c r="AY4" s="24" t="s">
        <v>6</v>
      </c>
      <c r="AZ4" s="23" t="s">
        <v>6</v>
      </c>
      <c r="BA4" s="24" t="s">
        <v>6</v>
      </c>
      <c r="BB4" s="24" t="s">
        <v>6</v>
      </c>
      <c r="BC4" s="24" t="s">
        <v>6</v>
      </c>
      <c r="BD4" s="24" t="s">
        <v>6</v>
      </c>
      <c r="BE4" s="24" t="s">
        <v>494</v>
      </c>
      <c r="BF4" s="24" t="s">
        <v>6</v>
      </c>
      <c r="BG4" s="24" t="s">
        <v>6</v>
      </c>
    </row>
    <row r="5" spans="2:62" x14ac:dyDescent="0.35">
      <c r="B5" s="8" t="s">
        <v>521</v>
      </c>
      <c r="G5" s="9"/>
      <c r="H5" s="22" t="s">
        <v>8</v>
      </c>
      <c r="I5" s="23" t="s">
        <v>8</v>
      </c>
      <c r="J5" s="24" t="s">
        <v>8</v>
      </c>
      <c r="K5" s="24" t="s">
        <v>8</v>
      </c>
      <c r="L5" s="24" t="s">
        <v>8</v>
      </c>
      <c r="M5" s="24" t="s">
        <v>8</v>
      </c>
      <c r="N5" s="24" t="s">
        <v>8</v>
      </c>
      <c r="O5" s="24" t="s">
        <v>8</v>
      </c>
      <c r="P5" s="24" t="s">
        <v>8</v>
      </c>
      <c r="Q5" s="24" t="s">
        <v>8</v>
      </c>
      <c r="R5" s="24" t="s">
        <v>8</v>
      </c>
      <c r="S5" s="24" t="s">
        <v>8</v>
      </c>
      <c r="T5" s="255" t="s">
        <v>8</v>
      </c>
      <c r="U5" s="24" t="s">
        <v>9</v>
      </c>
      <c r="V5" s="24" t="s">
        <v>9</v>
      </c>
      <c r="W5" s="24" t="s">
        <v>9</v>
      </c>
      <c r="X5" s="24" t="s">
        <v>9</v>
      </c>
      <c r="Y5" s="24" t="s">
        <v>9</v>
      </c>
      <c r="Z5" s="25" t="s">
        <v>9</v>
      </c>
      <c r="AA5" s="24" t="s">
        <v>9</v>
      </c>
      <c r="AB5" s="24" t="s">
        <v>9</v>
      </c>
      <c r="AC5" s="24" t="s">
        <v>9</v>
      </c>
      <c r="AD5" s="24" t="s">
        <v>9</v>
      </c>
      <c r="AE5" s="24" t="s">
        <v>9</v>
      </c>
      <c r="AF5" s="24" t="s">
        <v>9</v>
      </c>
      <c r="AG5" s="255" t="s">
        <v>9</v>
      </c>
      <c r="AH5" s="24" t="s">
        <v>9</v>
      </c>
      <c r="AI5" s="24" t="s">
        <v>9</v>
      </c>
      <c r="AJ5" s="24" t="s">
        <v>9</v>
      </c>
      <c r="AK5" s="24" t="s">
        <v>9</v>
      </c>
      <c r="AL5" s="24" t="s">
        <v>9</v>
      </c>
      <c r="AM5" s="25" t="s">
        <v>8</v>
      </c>
      <c r="AN5" s="24" t="s">
        <v>8</v>
      </c>
      <c r="AO5" s="24" t="s">
        <v>8</v>
      </c>
      <c r="AP5" s="24" t="s">
        <v>8</v>
      </c>
      <c r="AQ5" s="24" t="s">
        <v>8</v>
      </c>
      <c r="AR5" s="24" t="s">
        <v>8</v>
      </c>
      <c r="AS5" s="24" t="s">
        <v>8</v>
      </c>
      <c r="AT5" s="255" t="s">
        <v>8</v>
      </c>
      <c r="AU5" s="24" t="s">
        <v>7</v>
      </c>
      <c r="AV5" s="24" t="s">
        <v>7</v>
      </c>
      <c r="AW5" s="24" t="s">
        <v>7</v>
      </c>
      <c r="AX5" s="24" t="s">
        <v>7</v>
      </c>
      <c r="AY5" s="24" t="s">
        <v>7</v>
      </c>
      <c r="AZ5" s="24" t="s">
        <v>7</v>
      </c>
      <c r="BA5" s="24" t="s">
        <v>7</v>
      </c>
      <c r="BB5" s="24" t="s">
        <v>7</v>
      </c>
      <c r="BC5" s="24" t="s">
        <v>7</v>
      </c>
      <c r="BD5" s="24" t="s">
        <v>7</v>
      </c>
      <c r="BE5" s="24" t="s">
        <v>7</v>
      </c>
      <c r="BF5" s="24" t="s">
        <v>7</v>
      </c>
      <c r="BG5" s="24" t="s">
        <v>7</v>
      </c>
    </row>
    <row r="6" spans="2:62" x14ac:dyDescent="0.35">
      <c r="B6" s="8" t="s">
        <v>522</v>
      </c>
      <c r="G6" s="9"/>
      <c r="H6" s="26">
        <v>43753</v>
      </c>
      <c r="I6" s="27">
        <v>43768</v>
      </c>
      <c r="J6" s="28">
        <v>43864</v>
      </c>
      <c r="K6" s="28">
        <v>43920</v>
      </c>
      <c r="L6" s="28">
        <v>43986</v>
      </c>
      <c r="M6" s="28">
        <v>44207</v>
      </c>
      <c r="N6" s="28">
        <v>44281</v>
      </c>
      <c r="O6" s="28">
        <v>44349</v>
      </c>
      <c r="P6" s="28">
        <v>44466</v>
      </c>
      <c r="Q6" s="28">
        <v>44567</v>
      </c>
      <c r="R6" s="238">
        <v>44698</v>
      </c>
      <c r="S6" s="238">
        <v>44754</v>
      </c>
      <c r="T6" s="224">
        <v>44860</v>
      </c>
      <c r="U6" s="28">
        <v>43753</v>
      </c>
      <c r="V6" s="28">
        <v>43768</v>
      </c>
      <c r="W6" s="28">
        <v>43864</v>
      </c>
      <c r="X6" s="24" t="s">
        <v>12</v>
      </c>
      <c r="Y6" s="28">
        <v>43986</v>
      </c>
      <c r="Z6" s="28">
        <v>44207</v>
      </c>
      <c r="AA6" s="28">
        <v>44281</v>
      </c>
      <c r="AB6" s="28">
        <v>44349</v>
      </c>
      <c r="AC6" s="28">
        <v>44466</v>
      </c>
      <c r="AD6" s="28">
        <v>44567</v>
      </c>
      <c r="AE6" s="28">
        <v>44698</v>
      </c>
      <c r="AF6" s="28">
        <v>44754</v>
      </c>
      <c r="AG6" s="105">
        <v>44860</v>
      </c>
      <c r="AH6" s="29">
        <v>43753</v>
      </c>
      <c r="AI6" s="28">
        <v>43768</v>
      </c>
      <c r="AJ6" s="28">
        <v>43864</v>
      </c>
      <c r="AK6" s="28">
        <v>43920</v>
      </c>
      <c r="AL6" s="28">
        <v>43986</v>
      </c>
      <c r="AM6" s="29">
        <v>44207</v>
      </c>
      <c r="AN6" s="28">
        <v>44281</v>
      </c>
      <c r="AO6" s="28">
        <v>44349</v>
      </c>
      <c r="AP6" s="28">
        <v>44466</v>
      </c>
      <c r="AQ6" s="28">
        <v>44567</v>
      </c>
      <c r="AR6" s="27">
        <v>44698</v>
      </c>
      <c r="AS6" s="28">
        <v>44754</v>
      </c>
      <c r="AT6" s="106">
        <v>44860</v>
      </c>
      <c r="AU6" s="28">
        <v>43753</v>
      </c>
      <c r="AV6" s="28">
        <v>43768</v>
      </c>
      <c r="AW6" s="28">
        <v>43864</v>
      </c>
      <c r="AX6" s="28">
        <v>43920</v>
      </c>
      <c r="AY6" s="28">
        <v>43986</v>
      </c>
      <c r="AZ6" s="27">
        <v>44207</v>
      </c>
      <c r="BA6" s="28">
        <v>44281</v>
      </c>
      <c r="BB6" s="28">
        <v>44349</v>
      </c>
      <c r="BC6" s="28">
        <v>44466</v>
      </c>
      <c r="BD6" s="28">
        <v>44567</v>
      </c>
      <c r="BE6" s="27">
        <v>44698</v>
      </c>
      <c r="BF6" s="28">
        <v>44754</v>
      </c>
      <c r="BG6" s="28">
        <v>44860</v>
      </c>
    </row>
    <row r="7" spans="2:62" x14ac:dyDescent="0.35">
      <c r="B7" s="8"/>
      <c r="G7" s="9"/>
      <c r="H7" s="22"/>
      <c r="I7" s="23"/>
      <c r="R7" s="239"/>
      <c r="S7" s="239"/>
      <c r="T7" s="223"/>
      <c r="AG7" s="255"/>
      <c r="AH7" s="25"/>
      <c r="AM7" s="202"/>
      <c r="AN7" s="43"/>
      <c r="AP7" s="45"/>
      <c r="AQ7" s="45"/>
      <c r="AR7" s="37"/>
      <c r="AS7" s="37"/>
      <c r="AT7" s="38"/>
      <c r="AZ7" s="23"/>
      <c r="BE7" s="23"/>
      <c r="BF7" s="23"/>
      <c r="BG7" s="24"/>
    </row>
    <row r="8" spans="2:62" x14ac:dyDescent="0.35">
      <c r="B8" s="10" t="s">
        <v>13</v>
      </c>
      <c r="C8" s="32"/>
      <c r="D8" s="32"/>
      <c r="E8" s="32"/>
      <c r="F8" s="32"/>
      <c r="G8" s="11"/>
      <c r="H8" s="30"/>
      <c r="I8" s="31"/>
      <c r="J8" s="32"/>
      <c r="K8" s="32"/>
      <c r="L8" s="32"/>
      <c r="M8" s="32"/>
      <c r="N8" s="32"/>
      <c r="O8" s="32"/>
      <c r="P8" s="152"/>
      <c r="Q8" s="152"/>
      <c r="R8" s="23"/>
      <c r="S8" s="219"/>
      <c r="T8" s="108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4"/>
      <c r="AH8" s="33"/>
      <c r="AI8" s="32"/>
      <c r="AJ8" s="32"/>
      <c r="AK8" s="32"/>
      <c r="AL8" s="32"/>
      <c r="AM8" s="33"/>
      <c r="AN8" s="32"/>
      <c r="AO8" s="32"/>
      <c r="AR8" s="198"/>
      <c r="AS8" s="198"/>
      <c r="AT8" s="225"/>
      <c r="AU8" s="198"/>
      <c r="AV8" s="198"/>
      <c r="AW8" s="198"/>
      <c r="AX8" s="198"/>
      <c r="AY8" s="198"/>
      <c r="AZ8" s="236"/>
      <c r="BA8" s="198"/>
      <c r="BB8" s="32"/>
      <c r="BC8" s="32"/>
      <c r="BD8" s="32"/>
      <c r="BE8" s="32"/>
      <c r="BF8" s="32"/>
      <c r="BG8" s="32"/>
    </row>
    <row r="9" spans="2:62" x14ac:dyDescent="0.35">
      <c r="B9" s="8" t="s">
        <v>523</v>
      </c>
      <c r="G9" s="9"/>
      <c r="H9" s="185">
        <f>2.98-0.8</f>
        <v>2.1799999999999997</v>
      </c>
      <c r="I9" s="112">
        <f>2.74-0.8</f>
        <v>1.9400000000000002</v>
      </c>
      <c r="J9" s="186">
        <f>2.23-0.8</f>
        <v>1.43</v>
      </c>
      <c r="K9" s="186">
        <f>2.2-0.8</f>
        <v>1.4000000000000001</v>
      </c>
      <c r="L9" s="24">
        <f>L10-0.6</f>
        <v>1.85</v>
      </c>
      <c r="M9" s="24">
        <f>M10-0.6</f>
        <v>2.25</v>
      </c>
      <c r="N9" s="24">
        <f>N10-0.6</f>
        <v>1.4899999999999998</v>
      </c>
      <c r="O9" s="24">
        <f>O10-0.6</f>
        <v>1.4499999999999997</v>
      </c>
      <c r="P9" s="24">
        <f>P10-0.6</f>
        <v>1.98</v>
      </c>
      <c r="Q9" s="24">
        <f t="shared" ref="Q9:T9" si="0">Q10-0.6</f>
        <v>1.5299999999999998</v>
      </c>
      <c r="R9" s="24">
        <f>R10-0.6</f>
        <v>1.96</v>
      </c>
      <c r="S9" s="24">
        <f t="shared" si="0"/>
        <v>1.8900000000000001</v>
      </c>
      <c r="T9" s="24">
        <f t="shared" si="0"/>
        <v>1.7599999999999998</v>
      </c>
      <c r="U9" s="186">
        <f>2.78-0.8</f>
        <v>1.9799999999999998</v>
      </c>
      <c r="V9" s="186">
        <f>2.78-0.8</f>
        <v>1.9799999999999998</v>
      </c>
      <c r="W9" s="186">
        <f>3.08-0.8</f>
        <v>2.2800000000000002</v>
      </c>
      <c r="X9" s="186">
        <f>3.07-0.8</f>
        <v>2.2699999999999996</v>
      </c>
      <c r="Y9" s="24">
        <f>Y10-0.33</f>
        <v>2.94</v>
      </c>
      <c r="Z9" s="241">
        <f>Z10-0.33</f>
        <v>2.31</v>
      </c>
      <c r="AA9" s="24">
        <f>AA10-0.33</f>
        <v>2.2599999999999998</v>
      </c>
      <c r="AB9" s="24">
        <f>AB10-0.33</f>
        <v>2.31</v>
      </c>
      <c r="AC9" s="24">
        <f>AC10-0.33</f>
        <v>2.44</v>
      </c>
      <c r="AD9" s="24">
        <v>2.62</v>
      </c>
      <c r="AE9" s="24">
        <v>2.62</v>
      </c>
      <c r="AF9" s="24">
        <v>2.62</v>
      </c>
      <c r="AG9" s="24">
        <v>2.62</v>
      </c>
      <c r="AH9" s="187">
        <f>3.02-0.8</f>
        <v>2.2199999999999998</v>
      </c>
      <c r="AI9" s="186">
        <f>3-0.8</f>
        <v>2.2000000000000002</v>
      </c>
      <c r="AJ9" s="186">
        <f>2.47-0.8</f>
        <v>1.6700000000000002</v>
      </c>
      <c r="AK9" s="186">
        <f>2.44-0.8</f>
        <v>1.64</v>
      </c>
      <c r="AL9" s="24">
        <f>AL10-0.74</f>
        <v>1.93</v>
      </c>
      <c r="AM9" s="25">
        <f>AM10-0.74</f>
        <v>2.16</v>
      </c>
      <c r="AN9" s="24">
        <f>AN10-0.74</f>
        <v>1.36</v>
      </c>
      <c r="AO9" s="24">
        <f>AO10-0.74</f>
        <v>1.4400000000000002</v>
      </c>
      <c r="AP9" s="24">
        <f>AP10-0.74</f>
        <v>2.3099999999999996</v>
      </c>
      <c r="AQ9" s="24">
        <f t="shared" ref="AQ9:AT9" si="1">AQ10-0.74</f>
        <v>2.46</v>
      </c>
      <c r="AR9" s="24">
        <f t="shared" si="1"/>
        <v>1.9000000000000001</v>
      </c>
      <c r="AS9" s="24">
        <f t="shared" si="1"/>
        <v>1.8699999999999999</v>
      </c>
      <c r="AT9" s="255">
        <f t="shared" si="1"/>
        <v>1.4400000000000002</v>
      </c>
      <c r="AU9" s="186">
        <f>2.72-0.6</f>
        <v>2.12</v>
      </c>
      <c r="AW9" s="186">
        <f>2.57-0.6</f>
        <v>1.9699999999999998</v>
      </c>
      <c r="AX9" s="186">
        <f>2.54-0.6</f>
        <v>1.94</v>
      </c>
      <c r="AY9" s="24">
        <f>AY10-0.68</f>
        <v>2.0999999999999996</v>
      </c>
      <c r="AZ9" s="36">
        <v>2.31</v>
      </c>
      <c r="BA9" s="24">
        <f>BA10-0.68</f>
        <v>1.4</v>
      </c>
      <c r="BB9" s="24">
        <f>BB10-0.68</f>
        <v>1.52</v>
      </c>
      <c r="BC9" s="24">
        <f>BC10-0.68</f>
        <v>1.6099999999999999</v>
      </c>
      <c r="BD9" s="24">
        <f t="shared" ref="BD9:BG9" si="2">BD10-0.68</f>
        <v>1.5899999999999999</v>
      </c>
      <c r="BE9" s="24">
        <f t="shared" si="2"/>
        <v>2.0099999999999998</v>
      </c>
      <c r="BF9" s="24">
        <f t="shared" si="2"/>
        <v>1.9699999999999998</v>
      </c>
      <c r="BG9" s="24">
        <f t="shared" si="2"/>
        <v>1.67</v>
      </c>
    </row>
    <row r="10" spans="2:62" x14ac:dyDescent="0.35">
      <c r="B10" s="13" t="s">
        <v>524</v>
      </c>
      <c r="G10" s="9"/>
      <c r="H10" s="185">
        <v>2.98</v>
      </c>
      <c r="I10" s="112">
        <v>2.74</v>
      </c>
      <c r="J10" s="112">
        <v>2.23</v>
      </c>
      <c r="K10" s="112">
        <v>2.2000000000000002</v>
      </c>
      <c r="L10" s="24">
        <v>2.4500000000000002</v>
      </c>
      <c r="M10" s="254">
        <v>2.85</v>
      </c>
      <c r="N10" s="254">
        <v>2.09</v>
      </c>
      <c r="O10" s="23">
        <v>2.0499999999999998</v>
      </c>
      <c r="P10" s="23">
        <v>2.58</v>
      </c>
      <c r="Q10" s="23">
        <v>2.13</v>
      </c>
      <c r="R10" s="23">
        <v>2.56</v>
      </c>
      <c r="S10" s="23">
        <v>2.4900000000000002</v>
      </c>
      <c r="T10" s="108">
        <v>2.36</v>
      </c>
      <c r="U10" s="112">
        <v>2.78</v>
      </c>
      <c r="V10" s="112">
        <v>2.78</v>
      </c>
      <c r="W10" s="112">
        <v>3.08</v>
      </c>
      <c r="X10" s="112">
        <v>3.07</v>
      </c>
      <c r="Y10" s="24">
        <v>3.27</v>
      </c>
      <c r="Z10" s="23">
        <v>2.64</v>
      </c>
      <c r="AA10" s="23">
        <v>2.59</v>
      </c>
      <c r="AB10" s="24">
        <v>2.64</v>
      </c>
      <c r="AC10" s="24">
        <v>2.77</v>
      </c>
      <c r="AD10" s="24">
        <v>2.92</v>
      </c>
      <c r="AE10" s="24">
        <v>2.81</v>
      </c>
      <c r="AF10" s="24">
        <v>2.57</v>
      </c>
      <c r="AG10" s="255">
        <v>2.82</v>
      </c>
      <c r="AH10" s="115">
        <v>3.02</v>
      </c>
      <c r="AI10" s="112">
        <v>3</v>
      </c>
      <c r="AJ10" s="112">
        <v>2.4700000000000002</v>
      </c>
      <c r="AK10" s="112">
        <v>2.44</v>
      </c>
      <c r="AL10" s="24">
        <v>2.67</v>
      </c>
      <c r="AM10" s="36">
        <v>2.9</v>
      </c>
      <c r="AN10" s="23">
        <v>2.1</v>
      </c>
      <c r="AO10" s="23">
        <v>2.1800000000000002</v>
      </c>
      <c r="AP10" s="23">
        <v>3.05</v>
      </c>
      <c r="AQ10" s="23">
        <v>3.2</v>
      </c>
      <c r="AR10" s="37">
        <v>2.64</v>
      </c>
      <c r="AS10" s="37">
        <v>2.61</v>
      </c>
      <c r="AT10" s="38">
        <v>2.1800000000000002</v>
      </c>
      <c r="AU10" s="112">
        <v>2.72</v>
      </c>
      <c r="AV10" s="23"/>
      <c r="AW10" s="112">
        <v>2.57</v>
      </c>
      <c r="AX10" s="112">
        <v>2.54</v>
      </c>
      <c r="AY10" s="23">
        <v>2.78</v>
      </c>
      <c r="AZ10" s="36">
        <f>AZ9+0.68</f>
        <v>2.99</v>
      </c>
      <c r="BA10" s="23">
        <v>2.08</v>
      </c>
      <c r="BB10" s="23">
        <v>2.2000000000000002</v>
      </c>
      <c r="BC10" s="23">
        <v>2.29</v>
      </c>
      <c r="BD10" s="23">
        <v>2.27</v>
      </c>
      <c r="BE10" s="23">
        <v>2.69</v>
      </c>
      <c r="BF10" s="23">
        <v>2.65</v>
      </c>
      <c r="BG10" s="24">
        <v>2.35</v>
      </c>
    </row>
    <row r="11" spans="2:62" x14ac:dyDescent="0.35">
      <c r="B11" s="13" t="s">
        <v>525</v>
      </c>
      <c r="G11" s="9"/>
      <c r="H11" s="22">
        <f t="shared" ref="H11:O11" si="3">7.888-H10</f>
        <v>4.9079999999999995</v>
      </c>
      <c r="I11" s="23">
        <f t="shared" si="3"/>
        <v>5.1479999999999997</v>
      </c>
      <c r="J11" s="24">
        <f t="shared" si="3"/>
        <v>5.6579999999999995</v>
      </c>
      <c r="K11" s="23">
        <f t="shared" si="3"/>
        <v>5.6879999999999997</v>
      </c>
      <c r="L11" s="24">
        <f t="shared" si="3"/>
        <v>5.4379999999999997</v>
      </c>
      <c r="M11" s="23">
        <f t="shared" si="3"/>
        <v>5.0380000000000003</v>
      </c>
      <c r="N11" s="251">
        <f t="shared" si="3"/>
        <v>5.798</v>
      </c>
      <c r="O11" s="23">
        <f t="shared" si="3"/>
        <v>5.8380000000000001</v>
      </c>
      <c r="P11" s="23">
        <f t="shared" ref="P11" si="4">7.888-P10</f>
        <v>5.3079999999999998</v>
      </c>
      <c r="Q11" s="23">
        <f>7.888-Q10</f>
        <v>5.758</v>
      </c>
      <c r="R11" s="23">
        <f>7.888-R10</f>
        <v>5.3279999999999994</v>
      </c>
      <c r="S11" s="23">
        <f>7.888-S10</f>
        <v>5.3979999999999997</v>
      </c>
      <c r="T11" s="131">
        <f>7.888-T10</f>
        <v>5.5280000000000005</v>
      </c>
      <c r="U11" s="23">
        <f t="shared" ref="U11:AA11" si="5">7.601-U10</f>
        <v>4.8209999999999997</v>
      </c>
      <c r="V11" s="23">
        <f t="shared" si="5"/>
        <v>4.8209999999999997</v>
      </c>
      <c r="W11" s="24">
        <f t="shared" si="5"/>
        <v>4.5209999999999999</v>
      </c>
      <c r="X11" s="23">
        <f t="shared" si="5"/>
        <v>4.5310000000000006</v>
      </c>
      <c r="Y11" s="24">
        <f t="shared" si="5"/>
        <v>4.3309999999999995</v>
      </c>
      <c r="Z11" s="36">
        <f t="shared" si="5"/>
        <v>4.9610000000000003</v>
      </c>
      <c r="AA11" s="23">
        <f t="shared" si="5"/>
        <v>5.0110000000000001</v>
      </c>
      <c r="AB11" s="24">
        <f>7.601-AB10</f>
        <v>4.9610000000000003</v>
      </c>
      <c r="AC11" s="24">
        <f>7.601-AC10</f>
        <v>4.8309999999999995</v>
      </c>
      <c r="AD11" s="23">
        <f t="shared" ref="AD11" si="6">7.601-AD10</f>
        <v>4.681</v>
      </c>
      <c r="AE11" s="23">
        <f>7.601-AE10</f>
        <v>4.7910000000000004</v>
      </c>
      <c r="AF11" s="23">
        <f>7.601-AF10</f>
        <v>5.0310000000000006</v>
      </c>
      <c r="AG11" s="232">
        <f>7.601-AG10</f>
        <v>4.7810000000000006</v>
      </c>
      <c r="AH11" s="36">
        <f>7.837-AH10</f>
        <v>4.8170000000000002</v>
      </c>
      <c r="AI11" s="23">
        <f t="shared" ref="AI11:AO11" si="7">7.837-AI10</f>
        <v>4.8369999999999997</v>
      </c>
      <c r="AJ11" s="23">
        <f t="shared" si="7"/>
        <v>5.3669999999999991</v>
      </c>
      <c r="AK11" s="23">
        <f t="shared" si="7"/>
        <v>5.3970000000000002</v>
      </c>
      <c r="AL11" s="23">
        <f t="shared" si="7"/>
        <v>5.1669999999999998</v>
      </c>
      <c r="AM11" s="36">
        <f t="shared" si="7"/>
        <v>4.9369999999999994</v>
      </c>
      <c r="AN11" s="23">
        <f t="shared" si="7"/>
        <v>5.7370000000000001</v>
      </c>
      <c r="AO11" s="23">
        <f t="shared" si="7"/>
        <v>5.657</v>
      </c>
      <c r="AP11" s="23">
        <f t="shared" ref="AP11:AT11" si="8">7.837-AP10</f>
        <v>4.7869999999999999</v>
      </c>
      <c r="AQ11" s="23">
        <f t="shared" si="8"/>
        <v>4.6369999999999996</v>
      </c>
      <c r="AR11" s="23">
        <f t="shared" si="8"/>
        <v>5.1969999999999992</v>
      </c>
      <c r="AS11" s="23">
        <f t="shared" si="8"/>
        <v>5.2270000000000003</v>
      </c>
      <c r="AT11" s="164">
        <f t="shared" si="8"/>
        <v>5.657</v>
      </c>
      <c r="AU11" s="23">
        <f>7.942-AU10</f>
        <v>5.2219999999999995</v>
      </c>
      <c r="AV11" s="23"/>
      <c r="AW11" s="23">
        <f t="shared" ref="AW11:BB11" si="9">7.942-AW10</f>
        <v>5.3719999999999999</v>
      </c>
      <c r="AX11" s="23">
        <f t="shared" si="9"/>
        <v>5.4020000000000001</v>
      </c>
      <c r="AY11" s="23">
        <f t="shared" si="9"/>
        <v>5.1620000000000008</v>
      </c>
      <c r="AZ11" s="36">
        <f t="shared" si="9"/>
        <v>4.952</v>
      </c>
      <c r="BA11" s="23">
        <f t="shared" si="9"/>
        <v>5.8620000000000001</v>
      </c>
      <c r="BB11" s="23">
        <f t="shared" si="9"/>
        <v>5.742</v>
      </c>
      <c r="BC11" s="23">
        <f t="shared" ref="BC11:BG11" si="10">7.942-BC10</f>
        <v>5.6520000000000001</v>
      </c>
      <c r="BD11" s="23">
        <f t="shared" si="10"/>
        <v>5.6720000000000006</v>
      </c>
      <c r="BE11" s="23">
        <f t="shared" si="10"/>
        <v>5.2520000000000007</v>
      </c>
      <c r="BF11" s="23">
        <f t="shared" si="10"/>
        <v>5.2919999999999998</v>
      </c>
      <c r="BG11" s="131">
        <f t="shared" si="10"/>
        <v>5.5920000000000005</v>
      </c>
    </row>
    <row r="12" spans="2:62" x14ac:dyDescent="0.35">
      <c r="B12" s="8" t="s">
        <v>526</v>
      </c>
      <c r="G12" s="9" t="s">
        <v>15</v>
      </c>
      <c r="H12" s="22">
        <v>20</v>
      </c>
      <c r="I12" s="23">
        <v>17</v>
      </c>
      <c r="J12" s="24">
        <v>15</v>
      </c>
      <c r="K12" s="24">
        <v>10</v>
      </c>
      <c r="R12" s="23">
        <v>4</v>
      </c>
      <c r="S12" s="23"/>
      <c r="T12" s="108"/>
      <c r="U12" s="24">
        <v>20</v>
      </c>
      <c r="V12" s="24">
        <v>20</v>
      </c>
      <c r="W12" s="24">
        <v>20</v>
      </c>
      <c r="X12" s="24">
        <v>20</v>
      </c>
      <c r="AE12" s="24">
        <v>4</v>
      </c>
      <c r="AH12" s="25">
        <v>25</v>
      </c>
      <c r="AI12" s="24">
        <v>16</v>
      </c>
      <c r="AJ12" s="24">
        <v>23</v>
      </c>
      <c r="AK12" s="24">
        <v>22</v>
      </c>
      <c r="AM12" s="25"/>
      <c r="AR12" s="37">
        <v>4</v>
      </c>
      <c r="AS12" s="37"/>
      <c r="AT12" s="38"/>
      <c r="AU12" s="24">
        <v>20</v>
      </c>
      <c r="AW12" s="24">
        <v>34</v>
      </c>
      <c r="AX12" s="24">
        <v>21</v>
      </c>
      <c r="AZ12" s="36"/>
      <c r="BE12" s="23">
        <v>4</v>
      </c>
      <c r="BF12" s="23"/>
      <c r="BG12" s="24"/>
    </row>
    <row r="13" spans="2:62" x14ac:dyDescent="0.35">
      <c r="B13" s="8" t="s">
        <v>527</v>
      </c>
      <c r="G13" s="9"/>
      <c r="H13" s="22"/>
      <c r="I13" s="23"/>
      <c r="J13" s="24" t="s">
        <v>14</v>
      </c>
      <c r="K13" s="24" t="s">
        <v>14</v>
      </c>
      <c r="R13" s="23"/>
      <c r="S13" s="23"/>
      <c r="T13" s="108"/>
      <c r="W13" s="24" t="s">
        <v>14</v>
      </c>
      <c r="X13" s="24" t="s">
        <v>14</v>
      </c>
      <c r="AH13" s="25"/>
      <c r="AJ13" s="24" t="s">
        <v>14</v>
      </c>
      <c r="AK13" s="24" t="s">
        <v>14</v>
      </c>
      <c r="AM13" s="25"/>
      <c r="AR13" s="37"/>
      <c r="AS13" s="37"/>
      <c r="AT13" s="38"/>
      <c r="AW13" s="24" t="s">
        <v>14</v>
      </c>
      <c r="AX13" s="24" t="s">
        <v>14</v>
      </c>
      <c r="AZ13" s="36"/>
      <c r="BE13" s="23"/>
      <c r="BF13" s="23"/>
      <c r="BG13" s="24"/>
    </row>
    <row r="14" spans="2:62" x14ac:dyDescent="0.35">
      <c r="B14" s="8" t="s">
        <v>528</v>
      </c>
      <c r="G14" s="9"/>
      <c r="H14" s="22"/>
      <c r="I14" s="23"/>
      <c r="J14" s="24" t="s">
        <v>14</v>
      </c>
      <c r="K14" s="24" t="s">
        <v>14</v>
      </c>
      <c r="R14" s="23"/>
      <c r="S14" s="23"/>
      <c r="T14" s="108"/>
      <c r="W14" s="24" t="s">
        <v>14</v>
      </c>
      <c r="X14" s="24" t="s">
        <v>14</v>
      </c>
      <c r="AH14" s="25"/>
      <c r="AJ14" s="24" t="s">
        <v>14</v>
      </c>
      <c r="AK14" s="24" t="s">
        <v>14</v>
      </c>
      <c r="AM14" s="25"/>
      <c r="AR14" s="37"/>
      <c r="AS14" s="37"/>
      <c r="AT14" s="38"/>
      <c r="AW14" s="24" t="s">
        <v>14</v>
      </c>
      <c r="AX14" s="24" t="s">
        <v>14</v>
      </c>
      <c r="AZ14" s="36"/>
      <c r="BE14" s="23"/>
      <c r="BF14" s="23"/>
      <c r="BG14" s="24"/>
      <c r="BH14" s="247">
        <v>44682</v>
      </c>
      <c r="BI14" s="1" t="s">
        <v>541</v>
      </c>
    </row>
    <row r="15" spans="2:62" x14ac:dyDescent="0.35">
      <c r="B15" s="8" t="s">
        <v>529</v>
      </c>
      <c r="G15" s="9"/>
      <c r="H15" s="22"/>
      <c r="I15" s="23"/>
      <c r="J15" s="24" t="s">
        <v>18</v>
      </c>
      <c r="K15" s="24" t="s">
        <v>18</v>
      </c>
      <c r="R15" s="23" t="s">
        <v>482</v>
      </c>
      <c r="S15" s="23"/>
      <c r="T15" s="108" t="s">
        <v>482</v>
      </c>
      <c r="W15" s="24" t="s">
        <v>18</v>
      </c>
      <c r="X15" s="24" t="s">
        <v>18</v>
      </c>
      <c r="AE15" s="23" t="s">
        <v>483</v>
      </c>
      <c r="AF15" s="23"/>
      <c r="AG15" s="23" t="s">
        <v>482</v>
      </c>
      <c r="AH15" s="25"/>
      <c r="AJ15" s="24" t="s">
        <v>18</v>
      </c>
      <c r="AK15" s="24" t="s">
        <v>18</v>
      </c>
      <c r="AM15" s="25"/>
      <c r="AR15" s="37" t="s">
        <v>482</v>
      </c>
      <c r="AS15" s="37"/>
      <c r="AT15" s="38"/>
      <c r="AW15" s="24" t="s">
        <v>17</v>
      </c>
      <c r="AX15" s="24" t="s">
        <v>18</v>
      </c>
      <c r="AZ15" s="23"/>
      <c r="BE15" s="23" t="s">
        <v>482</v>
      </c>
      <c r="BF15" s="23"/>
      <c r="BG15" s="24" t="s">
        <v>482</v>
      </c>
    </row>
    <row r="16" spans="2:62" x14ac:dyDescent="0.35">
      <c r="B16" s="8" t="s">
        <v>530</v>
      </c>
      <c r="G16" s="9" t="s">
        <v>19</v>
      </c>
      <c r="H16" s="22">
        <v>14.4</v>
      </c>
      <c r="I16" s="23">
        <v>14</v>
      </c>
      <c r="J16" s="24">
        <v>12.2</v>
      </c>
      <c r="K16" s="24">
        <v>11.2</v>
      </c>
      <c r="L16" s="24">
        <v>13.44</v>
      </c>
      <c r="M16" s="24">
        <v>10.1</v>
      </c>
      <c r="O16" s="24">
        <v>13.4</v>
      </c>
      <c r="Q16" s="24">
        <v>11.4</v>
      </c>
      <c r="R16" s="23">
        <v>14</v>
      </c>
      <c r="S16" s="23"/>
      <c r="T16" s="108">
        <v>14.8</v>
      </c>
      <c r="U16" s="24">
        <v>14.4</v>
      </c>
      <c r="V16" s="24">
        <v>13.5</v>
      </c>
      <c r="W16" s="24">
        <v>11.6</v>
      </c>
      <c r="X16" s="24">
        <v>11.1</v>
      </c>
      <c r="Y16" s="24">
        <v>13.47</v>
      </c>
      <c r="Z16" s="24">
        <v>7.9</v>
      </c>
      <c r="AB16" s="24">
        <v>13.6</v>
      </c>
      <c r="AD16" s="24">
        <v>11.2</v>
      </c>
      <c r="AE16" s="24">
        <v>14.3</v>
      </c>
      <c r="AG16" s="24">
        <v>15.1</v>
      </c>
      <c r="AH16" s="25">
        <v>14.5</v>
      </c>
      <c r="AI16" s="24">
        <v>13.4</v>
      </c>
      <c r="AJ16" s="24">
        <v>11.9</v>
      </c>
      <c r="AK16" s="24">
        <v>11</v>
      </c>
      <c r="AL16" s="24">
        <v>12.8</v>
      </c>
      <c r="AM16" s="25">
        <v>8.6</v>
      </c>
      <c r="AO16" s="24">
        <v>13</v>
      </c>
      <c r="AQ16" s="24">
        <v>11.7</v>
      </c>
      <c r="AR16" s="37">
        <v>13.8</v>
      </c>
      <c r="AS16" s="37"/>
      <c r="AT16" s="38">
        <v>13</v>
      </c>
      <c r="AU16" s="24">
        <v>14.8</v>
      </c>
      <c r="AW16" s="24">
        <v>12</v>
      </c>
      <c r="AX16" s="24">
        <v>11</v>
      </c>
      <c r="AY16" s="24">
        <v>13.4</v>
      </c>
      <c r="AZ16" s="23">
        <v>10.199999999999999</v>
      </c>
      <c r="BB16" s="24">
        <v>13.1</v>
      </c>
      <c r="BE16" s="23">
        <v>15.4</v>
      </c>
      <c r="BF16" s="23"/>
      <c r="BG16" s="24">
        <v>15.8</v>
      </c>
      <c r="BH16" s="121">
        <f>AVERAGE(Table2[[#This Row],[Column444]],Table2[[#This Row],[Column205]],Table2[[#This Row],[Column1244]],Table2[[#This Row],[Column24]])</f>
        <v>14.375</v>
      </c>
      <c r="BJ16" s="121"/>
    </row>
    <row r="17" spans="2:62" x14ac:dyDescent="0.35">
      <c r="B17" s="8" t="s">
        <v>20</v>
      </c>
      <c r="G17" s="9"/>
      <c r="H17" s="22">
        <v>7.26</v>
      </c>
      <c r="I17" s="23">
        <v>7.03</v>
      </c>
      <c r="J17" s="24">
        <v>7.23</v>
      </c>
      <c r="K17" s="24">
        <v>7.28</v>
      </c>
      <c r="L17" s="24">
        <v>7.05</v>
      </c>
      <c r="M17" s="24">
        <v>7.03</v>
      </c>
      <c r="O17" s="24">
        <v>6.52</v>
      </c>
      <c r="Q17" s="24">
        <v>6.94</v>
      </c>
      <c r="R17" s="23">
        <v>6.96</v>
      </c>
      <c r="S17" s="23"/>
      <c r="T17" s="108">
        <v>7.69</v>
      </c>
      <c r="U17" s="24">
        <v>7.16</v>
      </c>
      <c r="V17" s="24">
        <v>7.05</v>
      </c>
      <c r="W17" s="24">
        <v>7.2</v>
      </c>
      <c r="X17" s="24">
        <v>7.32</v>
      </c>
      <c r="Y17" s="24">
        <v>7.34</v>
      </c>
      <c r="Z17" s="24">
        <v>7.03</v>
      </c>
      <c r="AB17" s="24">
        <v>7.14</v>
      </c>
      <c r="AD17" s="24">
        <v>7.11</v>
      </c>
      <c r="AE17" s="24">
        <v>7.93</v>
      </c>
      <c r="AG17" s="24">
        <v>8.0299999999999994</v>
      </c>
      <c r="AH17" s="25">
        <v>6.9</v>
      </c>
      <c r="AI17" s="24">
        <v>6.88</v>
      </c>
      <c r="AJ17" s="24">
        <v>7.01</v>
      </c>
      <c r="AK17" s="24">
        <v>7.1</v>
      </c>
      <c r="AL17" s="24">
        <v>7.07</v>
      </c>
      <c r="AM17" s="25">
        <v>7.11</v>
      </c>
      <c r="AO17" s="24">
        <v>6.81</v>
      </c>
      <c r="AQ17" s="24">
        <v>7.31</v>
      </c>
      <c r="AR17" s="37">
        <v>7.37</v>
      </c>
      <c r="AS17" s="37"/>
      <c r="AT17" s="38">
        <v>6.81</v>
      </c>
      <c r="AU17" s="24">
        <v>6.66</v>
      </c>
      <c r="AW17" s="24">
        <v>6.86</v>
      </c>
      <c r="AX17" s="24">
        <v>6.9</v>
      </c>
      <c r="AY17" s="24">
        <v>6.89</v>
      </c>
      <c r="AZ17" s="23">
        <v>6.85</v>
      </c>
      <c r="BB17" s="24">
        <v>6.97</v>
      </c>
      <c r="BD17" s="24">
        <v>6.93</v>
      </c>
      <c r="BE17" s="23">
        <v>6.88</v>
      </c>
      <c r="BF17" s="23"/>
      <c r="BG17" s="24">
        <v>7.83</v>
      </c>
      <c r="BH17" s="121">
        <f>AVERAGE(Table2[[#This Row],[Column444]],Table2[[#This Row],[Column205]],Table2[[#This Row],[Column1244]],Table2[[#This Row],[Column24]])</f>
        <v>7.2850000000000001</v>
      </c>
      <c r="BJ17" s="121"/>
    </row>
    <row r="18" spans="2:62" x14ac:dyDescent="0.35">
      <c r="B18" s="8" t="s">
        <v>21</v>
      </c>
      <c r="G18" s="9" t="s">
        <v>22</v>
      </c>
      <c r="H18" s="22"/>
      <c r="I18" s="23"/>
      <c r="J18" s="24" t="s">
        <v>14</v>
      </c>
      <c r="K18" s="24" t="s">
        <v>14</v>
      </c>
      <c r="M18" s="24">
        <v>0.75</v>
      </c>
      <c r="O18" s="24">
        <v>0.83</v>
      </c>
      <c r="Q18" s="24">
        <v>0.61</v>
      </c>
      <c r="R18" s="23">
        <v>1.19</v>
      </c>
      <c r="S18" s="23"/>
      <c r="T18" s="108">
        <v>0.95</v>
      </c>
      <c r="W18" s="24" t="s">
        <v>14</v>
      </c>
      <c r="X18" s="24" t="s">
        <v>14</v>
      </c>
      <c r="Z18" s="24">
        <v>0.7</v>
      </c>
      <c r="AB18" s="251">
        <v>19</v>
      </c>
      <c r="AD18" s="24">
        <v>0.06</v>
      </c>
      <c r="AE18" s="24">
        <v>1.77</v>
      </c>
      <c r="AG18" s="24">
        <v>0.42</v>
      </c>
      <c r="AH18" s="25"/>
      <c r="AJ18" s="24" t="s">
        <v>14</v>
      </c>
      <c r="AK18" s="24" t="s">
        <v>14</v>
      </c>
      <c r="AM18" s="25">
        <v>0.83</v>
      </c>
      <c r="AO18" s="24">
        <v>1.3</v>
      </c>
      <c r="AQ18" s="24">
        <v>2.85</v>
      </c>
      <c r="AR18" s="37">
        <v>1.69</v>
      </c>
      <c r="AS18" s="37"/>
      <c r="AT18" s="38">
        <v>1.3</v>
      </c>
      <c r="AW18" s="24" t="s">
        <v>14</v>
      </c>
      <c r="AX18" s="24" t="s">
        <v>14</v>
      </c>
      <c r="AZ18" s="23">
        <v>1.19</v>
      </c>
      <c r="BB18" s="24">
        <v>1.2</v>
      </c>
      <c r="BD18" s="24">
        <v>2.31</v>
      </c>
      <c r="BE18" s="23">
        <v>1.68</v>
      </c>
      <c r="BF18" s="23"/>
      <c r="BG18" s="24">
        <v>0.6</v>
      </c>
      <c r="BH18" s="121">
        <f>AVERAGE(Table2[[#This Row],[Column444]],Table2[[#This Row],[Column205]],Table2[[#This Row],[Column1244]],Table2[[#This Row],[Column24]])</f>
        <v>1.5825</v>
      </c>
      <c r="BJ18" s="121"/>
    </row>
    <row r="19" spans="2:62" x14ac:dyDescent="0.35">
      <c r="B19" s="8" t="s">
        <v>23</v>
      </c>
      <c r="G19" s="9" t="s">
        <v>24</v>
      </c>
      <c r="H19" s="22"/>
      <c r="I19" s="23"/>
      <c r="J19" s="24" t="s">
        <v>14</v>
      </c>
      <c r="K19" s="24" t="s">
        <v>14</v>
      </c>
      <c r="M19" s="24">
        <v>-151.4</v>
      </c>
      <c r="O19" s="24">
        <v>-43.9</v>
      </c>
      <c r="Q19" s="24">
        <v>-155.80000000000001</v>
      </c>
      <c r="R19" s="23">
        <v>-147.69999999999999</v>
      </c>
      <c r="S19" s="23"/>
      <c r="T19" s="108">
        <v>-137.6</v>
      </c>
      <c r="W19" s="24" t="s">
        <v>14</v>
      </c>
      <c r="X19" s="24" t="s">
        <v>14</v>
      </c>
      <c r="Z19" s="24">
        <v>-269.10000000000002</v>
      </c>
      <c r="AB19" s="24">
        <v>-205.6</v>
      </c>
      <c r="AD19" s="24">
        <v>-218.2</v>
      </c>
      <c r="AE19" s="24">
        <v>2.7</v>
      </c>
      <c r="AG19" s="24">
        <v>-226.5</v>
      </c>
      <c r="AH19" s="25"/>
      <c r="AJ19" s="24" t="s">
        <v>14</v>
      </c>
      <c r="AK19" s="24" t="s">
        <v>14</v>
      </c>
      <c r="AM19" s="25">
        <v>-162.30000000000001</v>
      </c>
      <c r="AO19" s="24">
        <v>-75.5</v>
      </c>
      <c r="AQ19" s="24">
        <v>33.700000000000003</v>
      </c>
      <c r="AR19" s="37">
        <v>45.2</v>
      </c>
      <c r="AS19" s="37"/>
      <c r="AT19" s="38">
        <v>-75.5</v>
      </c>
      <c r="AW19" s="24" t="s">
        <v>14</v>
      </c>
      <c r="AX19" s="24" t="s">
        <v>14</v>
      </c>
      <c r="AZ19" s="23">
        <v>-170.5</v>
      </c>
      <c r="BB19" s="24">
        <v>-89.6</v>
      </c>
      <c r="BD19" s="24">
        <v>112</v>
      </c>
      <c r="BE19" s="23">
        <v>54.2</v>
      </c>
      <c r="BF19" s="23"/>
      <c r="BG19" s="24">
        <v>-59.1</v>
      </c>
      <c r="BH19" s="248">
        <f>AVERAGE(Table2[[#This Row],[Column444]],Table2[[#This Row],[Column205]],Table2[[#This Row],[Column1244]],Table2[[#This Row],[Column24]])</f>
        <v>-11.399999999999999</v>
      </c>
      <c r="BJ19" s="123"/>
    </row>
    <row r="20" spans="2:62" x14ac:dyDescent="0.35">
      <c r="B20" s="8" t="s">
        <v>531</v>
      </c>
      <c r="G20" s="9" t="s">
        <v>26</v>
      </c>
      <c r="H20" s="22">
        <v>1147</v>
      </c>
      <c r="I20" s="23">
        <v>1080</v>
      </c>
      <c r="J20" s="24">
        <v>1004</v>
      </c>
      <c r="K20" s="24">
        <v>675</v>
      </c>
      <c r="L20" s="24">
        <v>985</v>
      </c>
      <c r="M20" s="24">
        <v>1210</v>
      </c>
      <c r="O20" s="24">
        <v>1219</v>
      </c>
      <c r="Q20" s="24">
        <v>1184</v>
      </c>
      <c r="R20" s="23">
        <v>1818</v>
      </c>
      <c r="S20" s="23"/>
      <c r="T20" s="108">
        <v>1470</v>
      </c>
      <c r="U20" s="24">
        <v>1302</v>
      </c>
      <c r="V20" s="24">
        <v>1600</v>
      </c>
      <c r="W20" s="24">
        <v>1344</v>
      </c>
      <c r="X20" s="24">
        <v>1083</v>
      </c>
      <c r="Y20" s="24">
        <v>1135</v>
      </c>
      <c r="Z20" s="24">
        <v>1830</v>
      </c>
      <c r="AB20" s="24">
        <v>1785</v>
      </c>
      <c r="AD20" s="24">
        <v>1583</v>
      </c>
      <c r="AE20" s="24">
        <v>1288</v>
      </c>
      <c r="AG20" s="24">
        <v>1209</v>
      </c>
      <c r="AH20" s="25">
        <v>1901</v>
      </c>
      <c r="AI20" s="24">
        <v>1837</v>
      </c>
      <c r="AJ20" s="24">
        <v>1383</v>
      </c>
      <c r="AK20" s="24">
        <v>1447</v>
      </c>
      <c r="AL20" s="24">
        <v>1242</v>
      </c>
      <c r="AM20" s="25">
        <v>1400</v>
      </c>
      <c r="AO20" s="24">
        <v>1176</v>
      </c>
      <c r="AQ20" s="24">
        <v>1390</v>
      </c>
      <c r="AR20" s="37">
        <v>1246</v>
      </c>
      <c r="AS20" s="37"/>
      <c r="AT20" s="38">
        <v>1176</v>
      </c>
      <c r="AU20" s="24">
        <v>1266</v>
      </c>
      <c r="AW20" s="24">
        <v>1534</v>
      </c>
      <c r="AX20" s="24">
        <v>1777</v>
      </c>
      <c r="AY20" s="24">
        <v>1337</v>
      </c>
      <c r="AZ20" s="23">
        <v>2020</v>
      </c>
      <c r="BB20" s="24">
        <v>1387</v>
      </c>
      <c r="BD20" s="24">
        <v>2051</v>
      </c>
      <c r="BE20" s="23">
        <v>1959</v>
      </c>
      <c r="BF20" s="23"/>
      <c r="BG20" s="24">
        <v>1004</v>
      </c>
      <c r="BH20" s="123">
        <f>AVERAGE(Table2[[#This Row],[Column444]],Table2[[#This Row],[Column205]],Table2[[#This Row],[Column1244]],Table2[[#This Row],[Column24]])</f>
        <v>1577.75</v>
      </c>
      <c r="BJ20" s="123"/>
    </row>
    <row r="21" spans="2:62" x14ac:dyDescent="0.35">
      <c r="B21" s="8" t="s">
        <v>532</v>
      </c>
      <c r="G21" s="9"/>
      <c r="H21" s="22"/>
      <c r="I21" s="23"/>
      <c r="R21" s="23"/>
      <c r="S21" s="23"/>
      <c r="T21" s="108"/>
      <c r="AH21" s="25"/>
      <c r="AM21" s="25"/>
      <c r="AR21" s="37"/>
      <c r="AS21" s="37"/>
      <c r="AT21" s="38"/>
      <c r="AZ21" s="23"/>
      <c r="BE21" s="23"/>
      <c r="BF21" s="23"/>
      <c r="BG21" s="24"/>
    </row>
    <row r="22" spans="2:62" x14ac:dyDescent="0.35">
      <c r="B22" s="8"/>
      <c r="G22" s="9"/>
      <c r="H22" s="22"/>
      <c r="I22" s="23"/>
      <c r="T22" s="255"/>
      <c r="AH22" s="25"/>
      <c r="AM22" s="25"/>
      <c r="AR22" s="37"/>
      <c r="AS22" s="37"/>
      <c r="AT22" s="38"/>
      <c r="AZ22" s="23"/>
      <c r="BE22" s="23"/>
      <c r="BF22" s="23"/>
      <c r="BG22" s="24"/>
    </row>
    <row r="23" spans="2:62" x14ac:dyDescent="0.35">
      <c r="B23" s="8"/>
      <c r="G23" s="9"/>
      <c r="H23" s="22"/>
      <c r="I23" s="23"/>
      <c r="R23" s="43"/>
      <c r="T23" s="226"/>
      <c r="AH23" s="25"/>
      <c r="AM23" s="25"/>
      <c r="AR23" s="37"/>
      <c r="AS23" s="37"/>
      <c r="AT23" s="38"/>
      <c r="AZ23" s="23"/>
      <c r="BA23" s="23"/>
      <c r="BB23" s="23"/>
      <c r="BC23" s="23"/>
      <c r="BD23" s="23"/>
      <c r="BE23" s="23"/>
      <c r="BF23" s="23"/>
      <c r="BG23" s="24"/>
    </row>
    <row r="24" spans="2:62" x14ac:dyDescent="0.35">
      <c r="B24" s="10" t="s">
        <v>533</v>
      </c>
      <c r="C24" s="32"/>
      <c r="D24" s="32"/>
      <c r="E24" s="32"/>
      <c r="F24" s="32"/>
      <c r="G24" s="11"/>
      <c r="H24" s="30"/>
      <c r="I24" s="31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4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3"/>
      <c r="AI24" s="32"/>
      <c r="AJ24" s="32"/>
      <c r="AK24" s="32"/>
      <c r="AL24" s="32"/>
      <c r="AM24" s="33"/>
      <c r="AN24" s="32"/>
      <c r="AO24" s="32"/>
      <c r="AP24" s="32"/>
      <c r="AQ24" s="32"/>
      <c r="AR24" s="32"/>
      <c r="AS24" s="32"/>
      <c r="AT24" s="34"/>
      <c r="AU24" s="32"/>
      <c r="AV24" s="32"/>
      <c r="AW24" s="32"/>
      <c r="AX24" s="32"/>
      <c r="AY24" s="32"/>
      <c r="AZ24" s="32"/>
      <c r="BA24" s="31"/>
      <c r="BB24" s="31"/>
      <c r="BC24" s="31"/>
      <c r="BD24" s="31"/>
      <c r="BE24" s="31"/>
      <c r="BF24" s="31"/>
      <c r="BG24" s="32"/>
    </row>
    <row r="25" spans="2:62" x14ac:dyDescent="0.35">
      <c r="B25" s="8" t="s">
        <v>29</v>
      </c>
      <c r="C25" s="24">
        <v>0.02</v>
      </c>
      <c r="D25" s="24">
        <v>20</v>
      </c>
      <c r="E25" s="24">
        <v>48</v>
      </c>
      <c r="F25" s="24">
        <v>60</v>
      </c>
      <c r="G25" s="9" t="s">
        <v>30</v>
      </c>
      <c r="H25" s="22">
        <v>490</v>
      </c>
      <c r="I25" s="23"/>
      <c r="J25" s="35">
        <v>820</v>
      </c>
      <c r="K25" s="35">
        <v>240</v>
      </c>
      <c r="L25" s="35"/>
      <c r="M25" s="35"/>
      <c r="N25" s="35"/>
      <c r="O25" s="35"/>
      <c r="P25" s="35"/>
      <c r="Q25" s="35"/>
      <c r="R25" s="240"/>
      <c r="S25" s="35"/>
      <c r="T25" s="256"/>
      <c r="U25" s="23">
        <v>3300</v>
      </c>
      <c r="V25" s="23"/>
      <c r="W25" s="35">
        <v>12000</v>
      </c>
      <c r="X25" s="35">
        <v>6100</v>
      </c>
      <c r="Y25" s="35"/>
      <c r="Z25" s="35"/>
      <c r="AA25" s="35"/>
      <c r="AH25" s="36">
        <v>230</v>
      </c>
      <c r="AI25" s="23"/>
      <c r="AJ25" s="37">
        <v>5</v>
      </c>
      <c r="AK25" s="37">
        <v>13</v>
      </c>
      <c r="AL25" s="37"/>
      <c r="AM25" s="203"/>
      <c r="AN25" s="37"/>
      <c r="AO25" s="37"/>
      <c r="AP25" s="37"/>
      <c r="AQ25" s="37"/>
      <c r="AR25" s="37"/>
      <c r="AS25" s="37"/>
      <c r="AT25" s="38"/>
      <c r="AU25" s="23">
        <v>0.6</v>
      </c>
      <c r="AV25" s="23"/>
      <c r="AW25" s="37">
        <v>0.14000000000000001</v>
      </c>
      <c r="AX25" s="37">
        <v>0.2</v>
      </c>
      <c r="AY25" s="37"/>
      <c r="AZ25" s="23"/>
      <c r="BE25" s="23"/>
      <c r="BF25" s="23"/>
      <c r="BG25" s="24"/>
    </row>
    <row r="26" spans="2:62" x14ac:dyDescent="0.35">
      <c r="B26" s="8" t="s">
        <v>29</v>
      </c>
      <c r="C26" s="24">
        <v>0.02</v>
      </c>
      <c r="D26" s="24">
        <v>20</v>
      </c>
      <c r="E26" s="24">
        <v>48</v>
      </c>
      <c r="F26" s="24">
        <v>60</v>
      </c>
      <c r="G26" s="9" t="s">
        <v>30</v>
      </c>
      <c r="H26" s="22"/>
      <c r="I26" s="23">
        <v>550</v>
      </c>
      <c r="J26" s="35">
        <v>460</v>
      </c>
      <c r="K26" s="35">
        <v>270</v>
      </c>
      <c r="L26" s="35">
        <v>20</v>
      </c>
      <c r="M26" s="23">
        <v>4.0999999999999996</v>
      </c>
      <c r="N26" s="23"/>
      <c r="O26" s="23">
        <v>1.4</v>
      </c>
      <c r="P26" s="23"/>
      <c r="Q26" s="23"/>
      <c r="R26" s="23" t="s">
        <v>505</v>
      </c>
      <c r="S26" s="23"/>
      <c r="T26" s="108">
        <v>0.23</v>
      </c>
      <c r="U26" s="23"/>
      <c r="V26" s="23">
        <v>1800</v>
      </c>
      <c r="W26" s="35">
        <v>7500</v>
      </c>
      <c r="X26" s="35">
        <v>7200</v>
      </c>
      <c r="Y26" s="39" t="s">
        <v>345</v>
      </c>
      <c r="Z26" s="99" t="s">
        <v>181</v>
      </c>
      <c r="AA26" s="99"/>
      <c r="AB26" s="35" t="s">
        <v>413</v>
      </c>
      <c r="AC26" s="35"/>
      <c r="AD26" s="35"/>
      <c r="AE26" s="24">
        <v>19</v>
      </c>
      <c r="AG26" s="24">
        <v>7300</v>
      </c>
      <c r="AH26" s="36"/>
      <c r="AI26" s="23">
        <v>210</v>
      </c>
      <c r="AJ26" s="37">
        <v>6.6</v>
      </c>
      <c r="AK26" s="37">
        <v>16</v>
      </c>
      <c r="AL26" s="37">
        <v>12</v>
      </c>
      <c r="AM26" s="203">
        <v>1.8</v>
      </c>
      <c r="AN26" s="37"/>
      <c r="AO26" s="37">
        <v>1.1000000000000001</v>
      </c>
      <c r="AP26" s="37"/>
      <c r="AQ26" s="37"/>
      <c r="AR26" s="37">
        <v>2.5</v>
      </c>
      <c r="AS26" s="37"/>
      <c r="AT26" s="38">
        <v>0.56000000000000005</v>
      </c>
      <c r="AU26" s="23"/>
      <c r="AV26" s="23"/>
      <c r="AW26" s="37">
        <v>0.2</v>
      </c>
      <c r="AX26" s="37">
        <v>0.2</v>
      </c>
      <c r="AY26" s="37">
        <v>13</v>
      </c>
      <c r="AZ26" s="23" t="s">
        <v>360</v>
      </c>
      <c r="BB26" s="23" t="s">
        <v>360</v>
      </c>
      <c r="BC26" s="23"/>
      <c r="BE26" s="23">
        <v>3</v>
      </c>
      <c r="BF26" s="23"/>
      <c r="BG26" s="24">
        <v>2.4E-2</v>
      </c>
    </row>
    <row r="27" spans="2:62" x14ac:dyDescent="0.35">
      <c r="B27" s="8" t="s">
        <v>209</v>
      </c>
      <c r="C27" s="24">
        <v>0.02</v>
      </c>
      <c r="D27" s="24">
        <v>20</v>
      </c>
      <c r="E27" s="24">
        <v>60</v>
      </c>
      <c r="F27" s="24">
        <v>75</v>
      </c>
      <c r="G27" s="9" t="s">
        <v>30</v>
      </c>
      <c r="H27" s="22"/>
      <c r="I27" s="23">
        <v>0.13</v>
      </c>
      <c r="J27" s="37">
        <v>0.33</v>
      </c>
      <c r="K27" s="37">
        <v>0.19</v>
      </c>
      <c r="L27" s="37">
        <v>2.5999999999999999E-2</v>
      </c>
      <c r="M27" s="23">
        <v>4.7E-2</v>
      </c>
      <c r="N27" s="23"/>
      <c r="O27" s="23">
        <v>2.4E-2</v>
      </c>
      <c r="P27" s="23"/>
      <c r="Q27" s="23"/>
      <c r="R27" s="23">
        <v>1.6E-2</v>
      </c>
      <c r="S27" s="23"/>
      <c r="T27" s="257">
        <v>0.1</v>
      </c>
      <c r="U27" s="23"/>
      <c r="V27" s="23" t="s">
        <v>105</v>
      </c>
      <c r="W27" s="37">
        <v>10</v>
      </c>
      <c r="X27" s="37">
        <v>10</v>
      </c>
      <c r="Y27" s="37">
        <v>0.15</v>
      </c>
      <c r="Z27" s="99" t="s">
        <v>181</v>
      </c>
      <c r="AA27" s="99"/>
      <c r="AB27" s="24">
        <v>0.38</v>
      </c>
      <c r="AE27" s="24">
        <v>0.13</v>
      </c>
      <c r="AG27" s="259">
        <v>10</v>
      </c>
      <c r="AH27" s="36"/>
      <c r="AI27" s="23">
        <v>0.27</v>
      </c>
      <c r="AJ27" s="37">
        <v>0.6</v>
      </c>
      <c r="AK27" s="37">
        <v>0.38</v>
      </c>
      <c r="AL27" s="37">
        <v>0.28999999999999998</v>
      </c>
      <c r="AM27" s="203">
        <v>9.9000000000000005E-2</v>
      </c>
      <c r="AN27" s="37"/>
      <c r="AO27" s="37">
        <v>8.7999999999999995E-2</v>
      </c>
      <c r="AP27" s="37"/>
      <c r="AQ27" s="37"/>
      <c r="AR27" s="37">
        <v>7.8E-2</v>
      </c>
      <c r="AS27" s="37"/>
      <c r="AT27" s="38">
        <v>0.11</v>
      </c>
      <c r="AU27" s="23"/>
      <c r="AV27" s="23"/>
      <c r="AW27" s="37">
        <v>0.17</v>
      </c>
      <c r="AX27" s="37">
        <v>0.14000000000000001</v>
      </c>
      <c r="AY27" s="37">
        <v>7.0999999999999994E-2</v>
      </c>
      <c r="AZ27" s="23">
        <v>2.3E-2</v>
      </c>
      <c r="BB27" s="24">
        <v>3.2000000000000001E-2</v>
      </c>
      <c r="BE27" s="23">
        <v>1.2E-2</v>
      </c>
      <c r="BF27" s="23"/>
      <c r="BG27" s="24">
        <v>1.7000000000000001E-2</v>
      </c>
    </row>
    <row r="28" spans="2:62" x14ac:dyDescent="0.35">
      <c r="B28" s="8" t="s">
        <v>31</v>
      </c>
      <c r="C28" s="24">
        <v>0.02</v>
      </c>
      <c r="D28" s="24">
        <v>20</v>
      </c>
      <c r="E28" s="24">
        <v>96</v>
      </c>
      <c r="F28" s="24">
        <v>120</v>
      </c>
      <c r="G28" s="9" t="s">
        <v>30</v>
      </c>
      <c r="H28" s="22"/>
      <c r="I28" s="23">
        <v>0.18</v>
      </c>
      <c r="J28" s="37">
        <v>0.15</v>
      </c>
      <c r="K28" s="37">
        <v>0.1</v>
      </c>
      <c r="L28" s="37">
        <v>4.4999999999999998E-2</v>
      </c>
      <c r="M28" s="23">
        <v>2.8000000000000001E-2</v>
      </c>
      <c r="N28" s="23"/>
      <c r="O28" s="23">
        <v>1.7000000000000001E-2</v>
      </c>
      <c r="P28" s="23"/>
      <c r="Q28" s="23"/>
      <c r="R28" s="23">
        <v>0.01</v>
      </c>
      <c r="S28" s="23"/>
      <c r="T28" s="257">
        <v>0.1</v>
      </c>
      <c r="U28" s="23"/>
      <c r="V28" s="23" t="s">
        <v>105</v>
      </c>
      <c r="W28" s="40">
        <v>25</v>
      </c>
      <c r="X28" s="37">
        <v>13</v>
      </c>
      <c r="Y28" s="37">
        <v>9.6</v>
      </c>
      <c r="Z28" s="99" t="s">
        <v>181</v>
      </c>
      <c r="AA28" s="99"/>
      <c r="AB28" s="24">
        <v>3.8</v>
      </c>
      <c r="AE28" s="24">
        <v>0.85</v>
      </c>
      <c r="AG28" s="259">
        <v>10</v>
      </c>
      <c r="AH28" s="36"/>
      <c r="AI28" s="23">
        <v>0.27</v>
      </c>
      <c r="AJ28" s="37">
        <v>0.1</v>
      </c>
      <c r="AK28" s="37">
        <v>0.1</v>
      </c>
      <c r="AL28" s="37">
        <v>6.5000000000000002E-2</v>
      </c>
      <c r="AM28" s="203">
        <v>2.8000000000000001E-2</v>
      </c>
      <c r="AN28" s="37"/>
      <c r="AO28" s="37">
        <v>2.5000000000000001E-2</v>
      </c>
      <c r="AP28" s="37"/>
      <c r="AQ28" s="37"/>
      <c r="AR28" s="37">
        <v>2.1000000000000001E-2</v>
      </c>
      <c r="AS28" s="37"/>
      <c r="AT28" s="38">
        <v>2.4E-2</v>
      </c>
      <c r="AU28" s="23"/>
      <c r="AV28" s="23"/>
      <c r="AW28" s="37">
        <v>0.34</v>
      </c>
      <c r="AX28" s="37">
        <v>0.14000000000000001</v>
      </c>
      <c r="AY28" s="37">
        <v>7.9000000000000001E-2</v>
      </c>
      <c r="AZ28" s="23">
        <v>2.5999999999999999E-2</v>
      </c>
      <c r="BB28" s="24">
        <v>3.1E-2</v>
      </c>
      <c r="BE28" s="23" t="s">
        <v>349</v>
      </c>
      <c r="BF28" s="23"/>
      <c r="BG28" s="264">
        <v>0.01</v>
      </c>
    </row>
    <row r="29" spans="2:62" x14ac:dyDescent="0.35">
      <c r="B29" s="8" t="s">
        <v>32</v>
      </c>
      <c r="C29" s="24">
        <v>0.02</v>
      </c>
      <c r="D29" s="24">
        <v>2</v>
      </c>
      <c r="E29" s="24">
        <v>3.2</v>
      </c>
      <c r="F29" s="24">
        <v>4</v>
      </c>
      <c r="G29" s="9" t="s">
        <v>30</v>
      </c>
      <c r="H29" s="22"/>
      <c r="I29" s="23">
        <v>8.3000000000000004E-2</v>
      </c>
      <c r="J29" s="37">
        <v>0.23</v>
      </c>
      <c r="K29" s="37">
        <v>0.15</v>
      </c>
      <c r="L29" s="37">
        <v>2.5999999999999999E-2</v>
      </c>
      <c r="M29" s="23">
        <v>6.7000000000000004E-2</v>
      </c>
      <c r="N29" s="23"/>
      <c r="O29" s="23">
        <v>1.4E-2</v>
      </c>
      <c r="P29" s="23"/>
      <c r="Q29" s="23"/>
      <c r="R29" s="23">
        <v>1.4999999999999999E-2</v>
      </c>
      <c r="S29" s="23"/>
      <c r="T29" s="257">
        <v>0.1</v>
      </c>
      <c r="U29" s="23"/>
      <c r="V29" s="23" t="s">
        <v>105</v>
      </c>
      <c r="W29" s="37">
        <v>0.12</v>
      </c>
      <c r="X29" s="23" t="s">
        <v>105</v>
      </c>
      <c r="Y29" s="23">
        <v>8.8999999999999996E-2</v>
      </c>
      <c r="Z29" s="23" t="s">
        <v>181</v>
      </c>
      <c r="AA29" s="23"/>
      <c r="AB29" s="24">
        <v>1.4</v>
      </c>
      <c r="AE29" s="24">
        <v>1.1000000000000001</v>
      </c>
      <c r="AG29" s="259">
        <v>10</v>
      </c>
      <c r="AH29" s="36"/>
      <c r="AI29" s="23">
        <v>4.4999999999999998E-2</v>
      </c>
      <c r="AJ29" s="37">
        <v>3.9E-2</v>
      </c>
      <c r="AK29" s="37">
        <v>0.1</v>
      </c>
      <c r="AL29" s="37">
        <v>1.7999999999999999E-2</v>
      </c>
      <c r="AM29" s="203">
        <v>1.6E-2</v>
      </c>
      <c r="AN29" s="37"/>
      <c r="AO29" s="37">
        <v>1.9E-2</v>
      </c>
      <c r="AP29" s="37"/>
      <c r="AQ29" s="37"/>
      <c r="AR29" s="37">
        <v>5.6000000000000001E-2</v>
      </c>
      <c r="AS29" s="37"/>
      <c r="AT29" s="38">
        <v>2.5999999999999999E-2</v>
      </c>
      <c r="AU29" s="23"/>
      <c r="AV29" s="23"/>
      <c r="AW29" s="37">
        <v>0.15</v>
      </c>
      <c r="AX29" s="37">
        <v>0.11</v>
      </c>
      <c r="AY29" s="37">
        <v>0.03</v>
      </c>
      <c r="AZ29" s="23">
        <v>0.11</v>
      </c>
      <c r="BB29" s="24">
        <v>0.14000000000000001</v>
      </c>
      <c r="BE29" s="24">
        <v>4.3999999999999997E-2</v>
      </c>
      <c r="BG29" s="24">
        <v>3.3000000000000002E-2</v>
      </c>
    </row>
    <row r="30" spans="2:62" x14ac:dyDescent="0.35">
      <c r="B30" s="8" t="s">
        <v>33</v>
      </c>
      <c r="C30" s="24">
        <v>0.02</v>
      </c>
      <c r="D30" s="24">
        <v>20</v>
      </c>
      <c r="E30" s="24">
        <v>72</v>
      </c>
      <c r="F30" s="24">
        <v>90</v>
      </c>
      <c r="G30" s="9" t="s">
        <v>30</v>
      </c>
      <c r="H30" s="22"/>
      <c r="I30" s="23">
        <v>9.0999999999999998E-2</v>
      </c>
      <c r="J30" s="37">
        <v>0.18</v>
      </c>
      <c r="K30" s="37">
        <v>0.12</v>
      </c>
      <c r="L30" s="37">
        <v>1.7999999999999999E-2</v>
      </c>
      <c r="M30" s="23">
        <v>5.0999999999999997E-2</v>
      </c>
      <c r="N30" s="23"/>
      <c r="O30" s="23">
        <v>1.0999999999999999E-2</v>
      </c>
      <c r="P30" s="23"/>
      <c r="Q30" s="23"/>
      <c r="R30" s="23">
        <v>1.4E-2</v>
      </c>
      <c r="S30" s="23"/>
      <c r="T30" s="257">
        <v>0.1</v>
      </c>
      <c r="U30" s="23"/>
      <c r="V30" s="23" t="s">
        <v>105</v>
      </c>
      <c r="W30" s="37">
        <v>4.4999999999999998E-2</v>
      </c>
      <c r="X30" s="23" t="s">
        <v>105</v>
      </c>
      <c r="Y30" s="23">
        <v>3.6999999999999998E-2</v>
      </c>
      <c r="Z30" s="23" t="s">
        <v>181</v>
      </c>
      <c r="AA30" s="23"/>
      <c r="AB30" s="24">
        <v>1</v>
      </c>
      <c r="AE30" s="24">
        <v>0.9</v>
      </c>
      <c r="AG30" s="259">
        <v>10</v>
      </c>
      <c r="AH30" s="36"/>
      <c r="AI30" s="23">
        <v>2.5999999999999999E-2</v>
      </c>
      <c r="AJ30" s="37">
        <v>3.3000000000000002E-2</v>
      </c>
      <c r="AK30" s="37">
        <v>0.1</v>
      </c>
      <c r="AL30" s="37">
        <v>1.2E-2</v>
      </c>
      <c r="AM30" s="203">
        <v>1.4999999999999999E-2</v>
      </c>
      <c r="AN30" s="37"/>
      <c r="AO30" s="37">
        <v>1.7999999999999999E-2</v>
      </c>
      <c r="AP30" s="37"/>
      <c r="AQ30" s="37"/>
      <c r="AR30" s="37">
        <v>5.1999999999999998E-2</v>
      </c>
      <c r="AS30" s="37"/>
      <c r="AT30" s="38">
        <v>2.4E-2</v>
      </c>
      <c r="AU30" s="38"/>
      <c r="AV30" s="38"/>
      <c r="AW30" s="38"/>
      <c r="AX30" s="38"/>
      <c r="AY30" s="38"/>
      <c r="AZ30" s="23">
        <v>8.5000000000000006E-2</v>
      </c>
      <c r="BB30" s="24">
        <v>0.12</v>
      </c>
      <c r="BE30" s="24">
        <v>3.3000000000000002E-2</v>
      </c>
      <c r="BG30" s="24">
        <v>2.8000000000000001E-2</v>
      </c>
    </row>
    <row r="31" spans="2:62" x14ac:dyDescent="0.35">
      <c r="B31" s="8" t="s">
        <v>34</v>
      </c>
      <c r="C31" s="24">
        <v>0.02</v>
      </c>
      <c r="D31" s="24">
        <v>0.9</v>
      </c>
      <c r="E31" s="24">
        <v>1.2</v>
      </c>
      <c r="F31" s="24">
        <v>1.5</v>
      </c>
      <c r="G31" s="9" t="s">
        <v>30</v>
      </c>
      <c r="H31" s="22"/>
      <c r="I31" s="23" t="s">
        <v>103</v>
      </c>
      <c r="J31" s="37">
        <v>3.2000000000000001E-2</v>
      </c>
      <c r="K31" s="37">
        <v>0.1</v>
      </c>
      <c r="L31" s="99">
        <v>6.8000000000000005E-2</v>
      </c>
      <c r="M31" s="23" t="s">
        <v>349</v>
      </c>
      <c r="N31" s="23"/>
      <c r="O31" s="23" t="s">
        <v>112</v>
      </c>
      <c r="P31" s="23"/>
      <c r="Q31" s="23"/>
      <c r="R31" s="23" t="s">
        <v>505</v>
      </c>
      <c r="S31" s="23"/>
      <c r="T31" s="257">
        <v>0.1</v>
      </c>
      <c r="U31" s="23"/>
      <c r="V31" s="23" t="s">
        <v>105</v>
      </c>
      <c r="W31" s="24" t="s">
        <v>35</v>
      </c>
      <c r="X31" s="23" t="s">
        <v>105</v>
      </c>
      <c r="Y31" s="23">
        <v>7.6999999999999999E-2</v>
      </c>
      <c r="Z31" s="23" t="s">
        <v>181</v>
      </c>
      <c r="AA31" s="23"/>
      <c r="AB31" s="24">
        <v>0.42</v>
      </c>
      <c r="AE31" s="37">
        <v>0.15</v>
      </c>
      <c r="AF31" s="37"/>
      <c r="AG31" s="260">
        <v>10</v>
      </c>
      <c r="AH31" s="36"/>
      <c r="AI31" s="24" t="s">
        <v>35</v>
      </c>
      <c r="AJ31" s="24">
        <v>1.4999999999999999E-2</v>
      </c>
      <c r="AK31" s="37">
        <v>0.1</v>
      </c>
      <c r="AL31" s="37">
        <v>4.8000000000000001E-2</v>
      </c>
      <c r="AM31" s="204" t="s">
        <v>349</v>
      </c>
      <c r="AN31" s="99"/>
      <c r="AO31" s="37" t="s">
        <v>112</v>
      </c>
      <c r="AP31" s="37"/>
      <c r="AQ31" s="37"/>
      <c r="AR31" s="37">
        <v>2.1999999999999999E-2</v>
      </c>
      <c r="AS31" s="37"/>
      <c r="AT31" s="261">
        <v>0.01</v>
      </c>
      <c r="AU31" s="23"/>
      <c r="AV31" s="23"/>
      <c r="AW31" s="37">
        <v>2.5000000000000001E-2</v>
      </c>
      <c r="AX31" s="37">
        <v>0.1</v>
      </c>
      <c r="AY31" s="37" t="s">
        <v>112</v>
      </c>
      <c r="AZ31" s="23">
        <v>3.1E-2</v>
      </c>
      <c r="BB31" s="24">
        <v>3.9E-2</v>
      </c>
      <c r="BE31" s="24">
        <v>1.0999999999999999E-2</v>
      </c>
      <c r="BG31" s="264">
        <v>0.01</v>
      </c>
    </row>
    <row r="32" spans="2:62" x14ac:dyDescent="0.35">
      <c r="B32" s="8" t="s">
        <v>36</v>
      </c>
      <c r="C32" s="24">
        <v>0.02</v>
      </c>
      <c r="D32" s="24">
        <v>2</v>
      </c>
      <c r="E32" s="24">
        <v>5.6</v>
      </c>
      <c r="F32" s="24">
        <v>7</v>
      </c>
      <c r="G32" s="9" t="s">
        <v>30</v>
      </c>
      <c r="H32" s="22"/>
      <c r="I32" s="23" t="s">
        <v>103</v>
      </c>
      <c r="J32" s="37">
        <v>3.6999999999999998E-2</v>
      </c>
      <c r="K32" s="37">
        <v>0.1</v>
      </c>
      <c r="L32" s="99" t="s">
        <v>112</v>
      </c>
      <c r="M32" s="23" t="s">
        <v>349</v>
      </c>
      <c r="N32" s="23"/>
      <c r="O32" s="23" t="s">
        <v>112</v>
      </c>
      <c r="P32" s="23"/>
      <c r="Q32" s="23"/>
      <c r="R32" s="23" t="s">
        <v>505</v>
      </c>
      <c r="S32" s="23"/>
      <c r="T32" s="257">
        <v>0.1</v>
      </c>
      <c r="U32" s="23"/>
      <c r="V32" s="23" t="s">
        <v>105</v>
      </c>
      <c r="W32" s="24">
        <v>1.4999999999999999E-2</v>
      </c>
      <c r="X32" s="23" t="s">
        <v>105</v>
      </c>
      <c r="Y32" s="23">
        <v>2.3E-2</v>
      </c>
      <c r="Z32" s="23" t="s">
        <v>181</v>
      </c>
      <c r="AA32" s="23"/>
      <c r="AB32" s="24">
        <v>0.57999999999999996</v>
      </c>
      <c r="AE32" s="37">
        <v>0.31</v>
      </c>
      <c r="AF32" s="37"/>
      <c r="AG32" s="260">
        <v>10</v>
      </c>
      <c r="AH32" s="36"/>
      <c r="AI32" s="24" t="s">
        <v>35</v>
      </c>
      <c r="AJ32" s="37">
        <v>2.1999999999999999E-2</v>
      </c>
      <c r="AK32" s="37">
        <v>0.1</v>
      </c>
      <c r="AL32" s="37">
        <v>1.6E-2</v>
      </c>
      <c r="AM32" s="204" t="s">
        <v>349</v>
      </c>
      <c r="AN32" s="99"/>
      <c r="AO32" s="37" t="s">
        <v>112</v>
      </c>
      <c r="AP32" s="37"/>
      <c r="AQ32" s="37"/>
      <c r="AR32" s="37">
        <v>0.03</v>
      </c>
      <c r="AS32" s="37"/>
      <c r="AT32" s="261">
        <v>0.01</v>
      </c>
      <c r="AU32" s="23"/>
      <c r="AV32" s="23"/>
      <c r="AW32" s="37">
        <v>2.7E-2</v>
      </c>
      <c r="AX32" s="37">
        <v>0.1</v>
      </c>
      <c r="AY32" s="37" t="s">
        <v>112</v>
      </c>
      <c r="AZ32" s="23">
        <v>5.3999999999999999E-2</v>
      </c>
      <c r="BB32" s="24">
        <v>6.0999999999999999E-2</v>
      </c>
      <c r="BE32" s="24">
        <v>1.9E-2</v>
      </c>
      <c r="BG32" s="24">
        <v>1.4999999999999999E-2</v>
      </c>
    </row>
    <row r="33" spans="2:59" x14ac:dyDescent="0.35">
      <c r="B33" s="8" t="s">
        <v>37</v>
      </c>
      <c r="C33" s="24">
        <v>0.02</v>
      </c>
      <c r="D33" s="24">
        <v>0.4</v>
      </c>
      <c r="E33" s="24">
        <v>0.56000000000000005</v>
      </c>
      <c r="F33" s="24">
        <v>0.7</v>
      </c>
      <c r="G33" s="9" t="s">
        <v>30</v>
      </c>
      <c r="H33" s="22"/>
      <c r="I33" s="23" t="s">
        <v>103</v>
      </c>
      <c r="J33" s="37">
        <v>3.1E-2</v>
      </c>
      <c r="K33" s="37">
        <v>0.1</v>
      </c>
      <c r="L33" s="99" t="s">
        <v>112</v>
      </c>
      <c r="M33" s="23" t="s">
        <v>349</v>
      </c>
      <c r="N33" s="23"/>
      <c r="O33" s="23" t="s">
        <v>112</v>
      </c>
      <c r="P33" s="23"/>
      <c r="Q33" s="23"/>
      <c r="R33" s="23" t="s">
        <v>505</v>
      </c>
      <c r="S33" s="23"/>
      <c r="T33" s="257">
        <v>0.1</v>
      </c>
      <c r="U33" s="23"/>
      <c r="V33" s="23" t="s">
        <v>105</v>
      </c>
      <c r="W33" s="24" t="s">
        <v>35</v>
      </c>
      <c r="X33" s="23" t="s">
        <v>105</v>
      </c>
      <c r="Y33" s="23" t="s">
        <v>112</v>
      </c>
      <c r="Z33" s="23" t="s">
        <v>181</v>
      </c>
      <c r="AA33" s="23"/>
      <c r="AB33" s="24">
        <v>0.52</v>
      </c>
      <c r="AE33" s="37">
        <v>0.57999999999999996</v>
      </c>
      <c r="AF33" s="37"/>
      <c r="AG33" s="260">
        <v>10</v>
      </c>
      <c r="AH33" s="36"/>
      <c r="AI33" s="24" t="s">
        <v>35</v>
      </c>
      <c r="AJ33" s="24">
        <v>0.02</v>
      </c>
      <c r="AK33" s="37">
        <v>0.1</v>
      </c>
      <c r="AL33" s="99" t="s">
        <v>112</v>
      </c>
      <c r="AM33" s="204" t="s">
        <v>349</v>
      </c>
      <c r="AN33" s="99"/>
      <c r="AO33" s="37" t="s">
        <v>112</v>
      </c>
      <c r="AP33" s="37"/>
      <c r="AQ33" s="37"/>
      <c r="AR33" s="37">
        <v>5.7000000000000002E-2</v>
      </c>
      <c r="AS33" s="37"/>
      <c r="AT33" s="38">
        <v>1.0999999999999999E-2</v>
      </c>
      <c r="AU33" s="23"/>
      <c r="AV33" s="23"/>
      <c r="AW33" s="37">
        <v>2.3E-2</v>
      </c>
      <c r="AX33" s="37">
        <v>0.1</v>
      </c>
      <c r="AY33" s="37" t="s">
        <v>112</v>
      </c>
      <c r="AZ33" s="23">
        <v>5.3999999999999999E-2</v>
      </c>
      <c r="BB33" s="24">
        <v>6.3E-2</v>
      </c>
      <c r="BE33" s="24">
        <v>2.3E-2</v>
      </c>
      <c r="BG33" s="24">
        <v>1.7000000000000001E-2</v>
      </c>
    </row>
    <row r="34" spans="2:59" x14ac:dyDescent="0.35">
      <c r="B34" s="8" t="s">
        <v>38</v>
      </c>
      <c r="C34" s="24">
        <v>0.02</v>
      </c>
      <c r="D34" s="24">
        <v>0.4</v>
      </c>
      <c r="E34" s="24">
        <v>0.60799999999999998</v>
      </c>
      <c r="F34" s="24">
        <v>0.76</v>
      </c>
      <c r="G34" s="9" t="s">
        <v>30</v>
      </c>
      <c r="H34" s="22"/>
      <c r="I34" s="23" t="s">
        <v>103</v>
      </c>
      <c r="J34" s="24">
        <v>1.2E-2</v>
      </c>
      <c r="K34" s="37">
        <v>0.1</v>
      </c>
      <c r="L34" s="99" t="s">
        <v>112</v>
      </c>
      <c r="M34" s="23" t="s">
        <v>349</v>
      </c>
      <c r="N34" s="23"/>
      <c r="O34" s="23" t="s">
        <v>112</v>
      </c>
      <c r="P34" s="23"/>
      <c r="Q34" s="23"/>
      <c r="R34" s="23" t="s">
        <v>505</v>
      </c>
      <c r="S34" s="23"/>
      <c r="T34" s="257">
        <v>0.1</v>
      </c>
      <c r="U34" s="23"/>
      <c r="V34" s="23" t="s">
        <v>105</v>
      </c>
      <c r="W34" s="24" t="s">
        <v>35</v>
      </c>
      <c r="X34" s="23" t="s">
        <v>105</v>
      </c>
      <c r="Y34" s="23" t="s">
        <v>112</v>
      </c>
      <c r="Z34" s="23" t="s">
        <v>181</v>
      </c>
      <c r="AA34" s="23"/>
      <c r="AB34" s="24">
        <v>0.26</v>
      </c>
      <c r="AE34" s="37">
        <v>0.13</v>
      </c>
      <c r="AF34" s="37"/>
      <c r="AG34" s="260">
        <v>10</v>
      </c>
      <c r="AH34" s="36"/>
      <c r="AI34" s="24" t="s">
        <v>35</v>
      </c>
      <c r="AJ34" s="24" t="s">
        <v>35</v>
      </c>
      <c r="AK34" s="37">
        <v>0.1</v>
      </c>
      <c r="AL34" s="99" t="s">
        <v>112</v>
      </c>
      <c r="AM34" s="204" t="s">
        <v>349</v>
      </c>
      <c r="AN34" s="99"/>
      <c r="AO34" s="37" t="s">
        <v>112</v>
      </c>
      <c r="AP34" s="37"/>
      <c r="AQ34" s="37"/>
      <c r="AR34" s="37">
        <v>0.02</v>
      </c>
      <c r="AS34" s="37"/>
      <c r="AT34" s="261">
        <v>0.01</v>
      </c>
      <c r="AU34" s="23"/>
      <c r="AV34" s="23"/>
      <c r="AW34" s="24" t="s">
        <v>35</v>
      </c>
      <c r="AX34" s="37">
        <v>0.1</v>
      </c>
      <c r="AY34" s="37" t="s">
        <v>112</v>
      </c>
      <c r="AZ34" s="23">
        <v>2.1000000000000001E-2</v>
      </c>
      <c r="BB34" s="24">
        <v>2.7E-2</v>
      </c>
      <c r="BE34" s="23" t="s">
        <v>349</v>
      </c>
      <c r="BF34" s="23"/>
      <c r="BG34" s="264">
        <v>0.01</v>
      </c>
    </row>
    <row r="35" spans="2:59" x14ac:dyDescent="0.35">
      <c r="B35" s="8" t="s">
        <v>39</v>
      </c>
      <c r="C35" s="24">
        <v>0.02</v>
      </c>
      <c r="D35" s="24">
        <v>0.06</v>
      </c>
      <c r="E35" s="24">
        <v>0.08</v>
      </c>
      <c r="F35" s="24">
        <v>0.1</v>
      </c>
      <c r="G35" s="9" t="s">
        <v>30</v>
      </c>
      <c r="H35" s="22"/>
      <c r="I35" s="23" t="s">
        <v>103</v>
      </c>
      <c r="J35" s="24">
        <v>1.7999999999999999E-2</v>
      </c>
      <c r="K35" s="40">
        <v>0.1</v>
      </c>
      <c r="L35" s="100" t="s">
        <v>112</v>
      </c>
      <c r="M35" s="23" t="s">
        <v>349</v>
      </c>
      <c r="N35" s="23"/>
      <c r="O35" s="23" t="s">
        <v>112</v>
      </c>
      <c r="P35" s="23"/>
      <c r="Q35" s="23"/>
      <c r="R35" s="23" t="s">
        <v>505</v>
      </c>
      <c r="S35" s="23"/>
      <c r="T35" s="257">
        <v>0.1</v>
      </c>
      <c r="U35" s="23"/>
      <c r="V35" s="23" t="s">
        <v>105</v>
      </c>
      <c r="W35" s="24" t="s">
        <v>35</v>
      </c>
      <c r="X35" s="23" t="s">
        <v>105</v>
      </c>
      <c r="Y35" s="23" t="s">
        <v>112</v>
      </c>
      <c r="Z35" s="23" t="s">
        <v>181</v>
      </c>
      <c r="AA35" s="23"/>
      <c r="AB35" s="24">
        <v>0.37</v>
      </c>
      <c r="AE35" s="37">
        <v>0.32</v>
      </c>
      <c r="AF35" s="37"/>
      <c r="AG35" s="260">
        <v>10</v>
      </c>
      <c r="AH35" s="36"/>
      <c r="AI35" s="24" t="s">
        <v>35</v>
      </c>
      <c r="AJ35" s="24">
        <v>1.4E-2</v>
      </c>
      <c r="AK35" s="40">
        <v>0.1</v>
      </c>
      <c r="AL35" s="100" t="s">
        <v>112</v>
      </c>
      <c r="AM35" s="205" t="s">
        <v>349</v>
      </c>
      <c r="AN35" s="100"/>
      <c r="AO35" s="40" t="s">
        <v>112</v>
      </c>
      <c r="AP35" s="40"/>
      <c r="AQ35" s="40"/>
      <c r="AR35" s="37">
        <v>3.7999999999999999E-2</v>
      </c>
      <c r="AS35" s="37"/>
      <c r="AT35" s="261">
        <v>0.01</v>
      </c>
      <c r="AU35" s="23"/>
      <c r="AV35" s="23"/>
      <c r="AW35" s="24">
        <v>1.4E-2</v>
      </c>
      <c r="AX35" s="40">
        <v>0.1</v>
      </c>
      <c r="AY35" s="99" t="s">
        <v>112</v>
      </c>
      <c r="AZ35" s="23">
        <v>3.2000000000000001E-2</v>
      </c>
      <c r="BB35" s="24">
        <v>3.6999999999999998E-2</v>
      </c>
      <c r="BE35" s="24">
        <v>1.2999999999999999E-2</v>
      </c>
      <c r="BG35" s="264">
        <v>0.01</v>
      </c>
    </row>
    <row r="36" spans="2:59" x14ac:dyDescent="0.35">
      <c r="B36" s="8" t="s">
        <v>40</v>
      </c>
      <c r="C36" s="24">
        <v>0.02</v>
      </c>
      <c r="D36" s="24">
        <v>0.1</v>
      </c>
      <c r="E36" s="24">
        <v>0.20799999999999999</v>
      </c>
      <c r="F36" s="24">
        <v>0.26</v>
      </c>
      <c r="G36" s="9" t="s">
        <v>30</v>
      </c>
      <c r="H36" s="22"/>
      <c r="I36" s="23" t="s">
        <v>103</v>
      </c>
      <c r="J36" s="24">
        <v>0.02</v>
      </c>
      <c r="K36" s="37">
        <v>0.1</v>
      </c>
      <c r="L36" s="99" t="s">
        <v>112</v>
      </c>
      <c r="M36" s="23" t="s">
        <v>349</v>
      </c>
      <c r="N36" s="23"/>
      <c r="O36" s="23" t="s">
        <v>112</v>
      </c>
      <c r="P36" s="23"/>
      <c r="Q36" s="23"/>
      <c r="R36" s="23" t="s">
        <v>505</v>
      </c>
      <c r="S36" s="23"/>
      <c r="T36" s="257">
        <v>0.1</v>
      </c>
      <c r="U36" s="23"/>
      <c r="V36" s="23" t="s">
        <v>105</v>
      </c>
      <c r="W36" s="24" t="s">
        <v>35</v>
      </c>
      <c r="X36" s="23" t="s">
        <v>105</v>
      </c>
      <c r="Y36" s="23" t="s">
        <v>112</v>
      </c>
      <c r="Z36" s="23" t="s">
        <v>181</v>
      </c>
      <c r="AA36" s="23"/>
      <c r="AB36" s="24">
        <v>0.35</v>
      </c>
      <c r="AE36" s="37">
        <v>0.4</v>
      </c>
      <c r="AF36" s="37"/>
      <c r="AG36" s="260">
        <v>10</v>
      </c>
      <c r="AH36" s="36"/>
      <c r="AI36" s="24" t="s">
        <v>35</v>
      </c>
      <c r="AJ36" s="24">
        <v>1.4E-2</v>
      </c>
      <c r="AK36" s="37">
        <v>0.1</v>
      </c>
      <c r="AL36" s="99" t="s">
        <v>112</v>
      </c>
      <c r="AM36" s="204" t="s">
        <v>349</v>
      </c>
      <c r="AN36" s="99"/>
      <c r="AO36" s="37" t="s">
        <v>112</v>
      </c>
      <c r="AP36" s="37"/>
      <c r="AQ36" s="37"/>
      <c r="AR36" s="37">
        <v>3.6999999999999998E-2</v>
      </c>
      <c r="AS36" s="37"/>
      <c r="AT36" s="261">
        <v>0.01</v>
      </c>
      <c r="AU36" s="23"/>
      <c r="AV36" s="23"/>
      <c r="AW36" s="24">
        <v>1.4999999999999999E-2</v>
      </c>
      <c r="AX36" s="37">
        <v>0.1</v>
      </c>
      <c r="AY36" s="37" t="s">
        <v>112</v>
      </c>
      <c r="AZ36" s="23">
        <v>2.9000000000000001E-2</v>
      </c>
      <c r="BB36" s="24">
        <v>3.6999999999999998E-2</v>
      </c>
      <c r="BE36" s="24">
        <v>1.2999999999999999E-2</v>
      </c>
      <c r="BG36" s="264">
        <v>0.01</v>
      </c>
    </row>
    <row r="37" spans="2:59" x14ac:dyDescent="0.35">
      <c r="B37" s="8" t="s">
        <v>41</v>
      </c>
      <c r="C37" s="24">
        <v>0.02</v>
      </c>
      <c r="D37" s="24">
        <v>0.7</v>
      </c>
      <c r="E37" s="24">
        <v>0.96</v>
      </c>
      <c r="F37" s="24">
        <v>1.2</v>
      </c>
      <c r="G37" s="9" t="s">
        <v>30</v>
      </c>
      <c r="H37" s="22"/>
      <c r="I37" s="23" t="s">
        <v>103</v>
      </c>
      <c r="J37" s="37">
        <v>2.8000000000000001E-2</v>
      </c>
      <c r="K37" s="37">
        <v>0.1</v>
      </c>
      <c r="L37" s="99" t="s">
        <v>112</v>
      </c>
      <c r="M37" s="23" t="s">
        <v>349</v>
      </c>
      <c r="N37" s="23"/>
      <c r="O37" s="23" t="s">
        <v>112</v>
      </c>
      <c r="P37" s="23"/>
      <c r="Q37" s="23"/>
      <c r="R37" s="23" t="s">
        <v>505</v>
      </c>
      <c r="S37" s="23"/>
      <c r="T37" s="257">
        <v>0.1</v>
      </c>
      <c r="U37" s="23"/>
      <c r="V37" s="23" t="s">
        <v>105</v>
      </c>
      <c r="W37" s="24" t="s">
        <v>35</v>
      </c>
      <c r="X37" s="23" t="s">
        <v>105</v>
      </c>
      <c r="Y37" s="23">
        <v>2.1999999999999999E-2</v>
      </c>
      <c r="Z37" s="23" t="s">
        <v>181</v>
      </c>
      <c r="AA37" s="23"/>
      <c r="AB37" s="24">
        <v>0.55000000000000004</v>
      </c>
      <c r="AE37" s="37">
        <v>0.38</v>
      </c>
      <c r="AF37" s="37"/>
      <c r="AG37" s="260">
        <v>10</v>
      </c>
      <c r="AH37" s="36"/>
      <c r="AI37" s="24" t="s">
        <v>35</v>
      </c>
      <c r="AJ37" s="24">
        <v>0.02</v>
      </c>
      <c r="AK37" s="37">
        <v>0.1</v>
      </c>
      <c r="AL37" s="37">
        <v>1.0999999999999999E-2</v>
      </c>
      <c r="AM37" s="204" t="s">
        <v>349</v>
      </c>
      <c r="AN37" s="99"/>
      <c r="AO37" s="37" t="s">
        <v>112</v>
      </c>
      <c r="AP37" s="37"/>
      <c r="AQ37" s="37"/>
      <c r="AR37" s="37">
        <v>4.5999999999999999E-2</v>
      </c>
      <c r="AS37" s="37"/>
      <c r="AT37" s="261">
        <v>0.01</v>
      </c>
      <c r="AU37" s="23"/>
      <c r="AV37" s="23"/>
      <c r="AW37" s="37">
        <v>2.5000000000000001E-2</v>
      </c>
      <c r="AX37" s="37">
        <v>0.1</v>
      </c>
      <c r="AY37" s="37" t="s">
        <v>112</v>
      </c>
      <c r="AZ37" s="23">
        <v>4.7E-2</v>
      </c>
      <c r="BB37" s="24">
        <v>5.5E-2</v>
      </c>
      <c r="BE37" s="24">
        <v>0.02</v>
      </c>
      <c r="BG37" s="24">
        <v>1.2999999999999999E-2</v>
      </c>
    </row>
    <row r="38" spans="2:59" x14ac:dyDescent="0.35">
      <c r="B38" s="8" t="s">
        <v>42</v>
      </c>
      <c r="C38" s="24">
        <v>0.02</v>
      </c>
      <c r="D38" s="24">
        <v>0.3</v>
      </c>
      <c r="E38" s="24">
        <v>0.4</v>
      </c>
      <c r="F38" s="24">
        <v>0.5</v>
      </c>
      <c r="G38" s="9" t="s">
        <v>30</v>
      </c>
      <c r="H38" s="22"/>
      <c r="I38" s="23" t="s">
        <v>103</v>
      </c>
      <c r="J38" s="24" t="s">
        <v>35</v>
      </c>
      <c r="K38" s="37">
        <v>0.1</v>
      </c>
      <c r="L38" s="99" t="s">
        <v>112</v>
      </c>
      <c r="M38" s="23" t="s">
        <v>349</v>
      </c>
      <c r="N38" s="23"/>
      <c r="O38" s="23" t="s">
        <v>112</v>
      </c>
      <c r="P38" s="23"/>
      <c r="Q38" s="23"/>
      <c r="R38" s="23" t="s">
        <v>505</v>
      </c>
      <c r="S38" s="23"/>
      <c r="T38" s="257">
        <v>0.1</v>
      </c>
      <c r="U38" s="23"/>
      <c r="V38" s="23" t="s">
        <v>105</v>
      </c>
      <c r="W38" s="24" t="s">
        <v>35</v>
      </c>
      <c r="X38" s="23" t="s">
        <v>105</v>
      </c>
      <c r="Y38" s="23" t="s">
        <v>112</v>
      </c>
      <c r="Z38" s="23" t="s">
        <v>181</v>
      </c>
      <c r="AA38" s="23"/>
      <c r="AB38" s="23" t="s">
        <v>112</v>
      </c>
      <c r="AC38" s="23"/>
      <c r="AD38" s="23"/>
      <c r="AE38" s="37">
        <v>6.2E-2</v>
      </c>
      <c r="AF38" s="37"/>
      <c r="AG38" s="260">
        <v>10</v>
      </c>
      <c r="AH38" s="36"/>
      <c r="AI38" s="24" t="s">
        <v>35</v>
      </c>
      <c r="AJ38" s="24" t="s">
        <v>35</v>
      </c>
      <c r="AK38" s="37">
        <v>0.1</v>
      </c>
      <c r="AL38" s="99" t="s">
        <v>112</v>
      </c>
      <c r="AM38" s="204" t="s">
        <v>349</v>
      </c>
      <c r="AN38" s="99"/>
      <c r="AO38" s="37" t="s">
        <v>112</v>
      </c>
      <c r="AP38" s="37"/>
      <c r="AQ38" s="37"/>
      <c r="AR38" s="37" t="s">
        <v>349</v>
      </c>
      <c r="AS38" s="37"/>
      <c r="AT38" s="261">
        <v>0.01</v>
      </c>
      <c r="AU38" s="23"/>
      <c r="AV38" s="23"/>
      <c r="AW38" s="24" t="s">
        <v>35</v>
      </c>
      <c r="AX38" s="37">
        <v>0.1</v>
      </c>
      <c r="AY38" s="37" t="s">
        <v>112</v>
      </c>
      <c r="AZ38" s="23" t="s">
        <v>349</v>
      </c>
      <c r="BB38" s="23" t="s">
        <v>112</v>
      </c>
      <c r="BC38" s="23"/>
      <c r="BD38" s="23"/>
      <c r="BE38" s="23" t="s">
        <v>349</v>
      </c>
      <c r="BF38" s="23"/>
      <c r="BG38" s="264">
        <v>0.01</v>
      </c>
    </row>
    <row r="39" spans="2:59" x14ac:dyDescent="0.35">
      <c r="B39" s="8" t="s">
        <v>43</v>
      </c>
      <c r="C39" s="24">
        <v>0.02</v>
      </c>
      <c r="D39" s="24">
        <v>20</v>
      </c>
      <c r="E39" s="24">
        <v>56</v>
      </c>
      <c r="F39" s="24">
        <v>70</v>
      </c>
      <c r="G39" s="9" t="s">
        <v>30</v>
      </c>
      <c r="H39" s="22"/>
      <c r="I39" s="23">
        <v>1.1000000000000001</v>
      </c>
      <c r="J39" s="37">
        <v>0.74</v>
      </c>
      <c r="K39" s="37">
        <v>0.5</v>
      </c>
      <c r="L39" s="37">
        <v>0.28999999999999998</v>
      </c>
      <c r="M39" s="23">
        <v>0.13</v>
      </c>
      <c r="N39" s="23"/>
      <c r="O39" s="23">
        <v>8.2000000000000003E-2</v>
      </c>
      <c r="P39" s="23"/>
      <c r="Q39" s="23"/>
      <c r="R39" s="23" t="s">
        <v>506</v>
      </c>
      <c r="S39" s="23"/>
      <c r="T39" s="257">
        <v>0.5</v>
      </c>
      <c r="U39" s="23"/>
      <c r="V39" s="23">
        <v>50</v>
      </c>
      <c r="W39" s="40">
        <v>50</v>
      </c>
      <c r="X39" s="40">
        <v>50</v>
      </c>
      <c r="Y39" s="40">
        <v>2.8</v>
      </c>
      <c r="Z39" s="23" t="s">
        <v>181</v>
      </c>
      <c r="AA39" s="23"/>
      <c r="AB39" s="24">
        <v>2.2999999999999998</v>
      </c>
      <c r="AE39" s="37">
        <v>0.89</v>
      </c>
      <c r="AF39" s="37"/>
      <c r="AG39" s="260">
        <v>50</v>
      </c>
      <c r="AH39" s="36"/>
      <c r="AI39" s="23" t="s">
        <v>107</v>
      </c>
      <c r="AJ39" s="37">
        <v>5.8</v>
      </c>
      <c r="AK39" s="37">
        <v>5.0999999999999996</v>
      </c>
      <c r="AL39" s="37">
        <v>5</v>
      </c>
      <c r="AM39" s="203">
        <v>2.9</v>
      </c>
      <c r="AN39" s="37"/>
      <c r="AO39" s="37">
        <v>3.5</v>
      </c>
      <c r="AP39" s="37"/>
      <c r="AQ39" s="37"/>
      <c r="AR39" s="37">
        <v>0.43</v>
      </c>
      <c r="AS39" s="37"/>
      <c r="AT39" s="38">
        <v>0.64</v>
      </c>
      <c r="AU39" s="23"/>
      <c r="AV39" s="23"/>
      <c r="AW39" s="37">
        <v>0.19</v>
      </c>
      <c r="AX39" s="37">
        <v>0.5</v>
      </c>
      <c r="AY39" s="37">
        <v>7.8E-2</v>
      </c>
      <c r="AZ39" s="23" t="s">
        <v>350</v>
      </c>
      <c r="BB39" s="23" t="s">
        <v>128</v>
      </c>
      <c r="BC39" s="23"/>
      <c r="BD39" s="23"/>
      <c r="BE39" s="23" t="s">
        <v>350</v>
      </c>
      <c r="BF39" s="23"/>
      <c r="BG39" s="264">
        <v>0.05</v>
      </c>
    </row>
    <row r="40" spans="2:59" x14ac:dyDescent="0.35">
      <c r="B40" s="8" t="s">
        <v>44</v>
      </c>
      <c r="C40" s="24">
        <v>0.02</v>
      </c>
      <c r="D40" s="24">
        <v>20</v>
      </c>
      <c r="E40" s="24">
        <v>144</v>
      </c>
      <c r="F40" s="24">
        <v>180</v>
      </c>
      <c r="G40" s="9" t="s">
        <v>30</v>
      </c>
      <c r="H40" s="22"/>
      <c r="I40" s="23" t="s">
        <v>104</v>
      </c>
      <c r="J40" s="37">
        <v>10</v>
      </c>
      <c r="K40" s="37">
        <v>1.1000000000000001</v>
      </c>
      <c r="L40" s="37">
        <v>0.72</v>
      </c>
      <c r="M40" s="23">
        <v>0.66</v>
      </c>
      <c r="N40" s="23"/>
      <c r="O40" s="23">
        <v>0.32</v>
      </c>
      <c r="P40" s="23"/>
      <c r="Q40" s="23"/>
      <c r="R40" s="37">
        <v>0.15</v>
      </c>
      <c r="S40" s="37"/>
      <c r="T40" s="38">
        <v>0.26</v>
      </c>
      <c r="U40" s="23"/>
      <c r="V40" s="23">
        <v>170</v>
      </c>
      <c r="W40" s="35">
        <v>600</v>
      </c>
      <c r="X40" s="35">
        <v>280</v>
      </c>
      <c r="Y40" s="35">
        <v>240</v>
      </c>
      <c r="Z40" s="23" t="s">
        <v>181</v>
      </c>
      <c r="AA40" s="23"/>
      <c r="AB40" s="24">
        <v>110</v>
      </c>
      <c r="AE40" s="37">
        <v>0.89</v>
      </c>
      <c r="AF40" s="37"/>
      <c r="AG40" s="37">
        <v>190</v>
      </c>
      <c r="AH40" s="36"/>
      <c r="AI40" s="23">
        <v>130</v>
      </c>
      <c r="AJ40" s="40">
        <v>97</v>
      </c>
      <c r="AK40" s="40">
        <v>41</v>
      </c>
      <c r="AL40" s="40">
        <v>24</v>
      </c>
      <c r="AM40" s="206">
        <v>9.6</v>
      </c>
      <c r="AN40" s="40"/>
      <c r="AO40" s="40">
        <v>15</v>
      </c>
      <c r="AP40" s="40"/>
      <c r="AQ40" s="40"/>
      <c r="AR40" s="37">
        <v>0.94</v>
      </c>
      <c r="AS40" s="37"/>
      <c r="AT40" s="38">
        <v>2.1</v>
      </c>
      <c r="AU40" s="23"/>
      <c r="AV40" s="23"/>
      <c r="AW40" s="37">
        <v>9.6000000000000002E-2</v>
      </c>
      <c r="AX40" s="37">
        <v>0.1</v>
      </c>
      <c r="AY40" s="37">
        <v>0.44</v>
      </c>
      <c r="AZ40" s="23" t="s">
        <v>349</v>
      </c>
      <c r="BB40" s="23" t="s">
        <v>112</v>
      </c>
      <c r="BC40" s="23"/>
      <c r="BD40" s="23"/>
      <c r="BE40" s="24">
        <v>2.3E-2</v>
      </c>
      <c r="BG40" s="264">
        <v>0.01</v>
      </c>
    </row>
    <row r="41" spans="2:59" x14ac:dyDescent="0.35">
      <c r="B41" s="8" t="s">
        <v>45</v>
      </c>
      <c r="G41" s="9" t="s">
        <v>30</v>
      </c>
      <c r="H41" s="22"/>
      <c r="I41" s="23">
        <v>550</v>
      </c>
      <c r="J41" s="24">
        <v>820</v>
      </c>
      <c r="K41" s="24">
        <v>240</v>
      </c>
      <c r="L41" s="24">
        <v>21</v>
      </c>
      <c r="M41" s="23">
        <v>5.2</v>
      </c>
      <c r="N41" s="23"/>
      <c r="O41" s="23">
        <v>2</v>
      </c>
      <c r="P41" s="23"/>
      <c r="Q41" s="23"/>
      <c r="R41" s="23" t="s">
        <v>507</v>
      </c>
      <c r="S41" s="23"/>
      <c r="T41" s="258">
        <v>2.1</v>
      </c>
      <c r="U41" s="23"/>
      <c r="V41" s="23">
        <v>2000</v>
      </c>
      <c r="W41" s="24">
        <v>13000</v>
      </c>
      <c r="X41" s="24">
        <v>6400</v>
      </c>
      <c r="Y41" s="23" t="s">
        <v>117</v>
      </c>
      <c r="Z41" s="23" t="s">
        <v>181</v>
      </c>
      <c r="AA41" s="23"/>
      <c r="AB41" s="23" t="s">
        <v>412</v>
      </c>
      <c r="AC41" s="23"/>
      <c r="AD41" s="23"/>
      <c r="AE41" s="24">
        <v>47</v>
      </c>
      <c r="AG41" s="24">
        <v>7500</v>
      </c>
      <c r="AH41" s="36"/>
      <c r="AI41" s="23">
        <v>340</v>
      </c>
      <c r="AJ41" s="24">
        <v>120</v>
      </c>
      <c r="AK41" s="24">
        <v>63</v>
      </c>
      <c r="AL41" s="24">
        <v>43</v>
      </c>
      <c r="AM41" s="25">
        <v>15</v>
      </c>
      <c r="AO41" s="24">
        <v>21</v>
      </c>
      <c r="AR41" s="24">
        <v>4.5999999999999996</v>
      </c>
      <c r="AT41" s="255">
        <v>3.8</v>
      </c>
      <c r="AU41" s="23"/>
      <c r="AV41" s="23"/>
      <c r="AW41" s="24">
        <v>1.6</v>
      </c>
      <c r="AX41" s="24">
        <v>0.56000000000000005</v>
      </c>
      <c r="AY41" s="24">
        <v>13</v>
      </c>
      <c r="AZ41" s="23">
        <v>0.53</v>
      </c>
      <c r="BB41" s="24">
        <v>0.66</v>
      </c>
      <c r="BE41" s="24">
        <v>3.2</v>
      </c>
      <c r="BG41" s="265">
        <v>0.21</v>
      </c>
    </row>
    <row r="42" spans="2:59" x14ac:dyDescent="0.35">
      <c r="B42" s="8" t="s">
        <v>46</v>
      </c>
      <c r="C42" s="24">
        <v>0.02</v>
      </c>
      <c r="D42" s="24">
        <v>20</v>
      </c>
      <c r="E42" s="24">
        <v>96</v>
      </c>
      <c r="F42" s="24">
        <v>120</v>
      </c>
      <c r="G42" s="9" t="s">
        <v>30</v>
      </c>
      <c r="H42" s="22"/>
      <c r="I42" s="23">
        <v>0.56000000000000005</v>
      </c>
      <c r="J42" s="37">
        <v>0.4</v>
      </c>
      <c r="K42" s="37">
        <v>0.15</v>
      </c>
      <c r="L42" s="37">
        <v>0.11</v>
      </c>
      <c r="M42" s="23">
        <v>7.6999999999999999E-2</v>
      </c>
      <c r="N42" s="23"/>
      <c r="O42" s="23">
        <v>5.0999999999999997E-2</v>
      </c>
      <c r="P42" s="23"/>
      <c r="Q42" s="23"/>
      <c r="R42" s="23">
        <v>2.7E-2</v>
      </c>
      <c r="S42" s="23"/>
      <c r="T42" s="257">
        <v>0.1</v>
      </c>
      <c r="U42" s="23"/>
      <c r="V42" s="23" t="s">
        <v>105</v>
      </c>
      <c r="W42" s="37">
        <v>10</v>
      </c>
      <c r="X42" s="37">
        <v>10</v>
      </c>
      <c r="Y42" s="37">
        <v>1.7</v>
      </c>
      <c r="Z42" s="99" t="s">
        <v>181</v>
      </c>
      <c r="AA42" s="99"/>
      <c r="AB42" s="24">
        <v>0.95</v>
      </c>
      <c r="AE42" s="37">
        <v>0.16</v>
      </c>
      <c r="AF42" s="37"/>
      <c r="AG42" s="260">
        <v>10</v>
      </c>
      <c r="AH42" s="36"/>
      <c r="AI42" s="23" t="s">
        <v>104</v>
      </c>
      <c r="AJ42" s="37">
        <v>7.9</v>
      </c>
      <c r="AK42" s="37">
        <v>3.7</v>
      </c>
      <c r="AL42" s="37">
        <v>2.2000000000000002</v>
      </c>
      <c r="AM42" s="203">
        <v>0.91</v>
      </c>
      <c r="AN42" s="37"/>
      <c r="AO42" s="37">
        <v>1.6</v>
      </c>
      <c r="AP42" s="37"/>
      <c r="AQ42" s="37"/>
      <c r="AR42" s="37">
        <v>0.23</v>
      </c>
      <c r="AS42" s="37"/>
      <c r="AT42" s="38">
        <v>0.22</v>
      </c>
      <c r="AU42" s="23"/>
      <c r="AV42" s="23"/>
      <c r="AW42" s="37">
        <v>0.28000000000000003</v>
      </c>
      <c r="AX42" s="37">
        <v>0.17</v>
      </c>
      <c r="AY42" s="37">
        <v>0.14000000000000001</v>
      </c>
      <c r="AZ42" s="23">
        <v>1.4E-2</v>
      </c>
      <c r="BB42" s="24">
        <v>1.6E-2</v>
      </c>
      <c r="BE42" s="23" t="s">
        <v>349</v>
      </c>
      <c r="BF42" s="23"/>
      <c r="BG42" s="264">
        <v>0.01</v>
      </c>
    </row>
    <row r="43" spans="2:59" x14ac:dyDescent="0.35">
      <c r="B43" s="8" t="s">
        <v>47</v>
      </c>
      <c r="G43" s="9" t="s">
        <v>30</v>
      </c>
      <c r="H43" s="22"/>
      <c r="I43" s="23">
        <v>0.08</v>
      </c>
      <c r="J43" s="24">
        <v>0.34</v>
      </c>
      <c r="K43" s="24">
        <v>0.15</v>
      </c>
      <c r="M43" s="23"/>
      <c r="N43" s="23"/>
      <c r="O43" s="23"/>
      <c r="P43" s="23"/>
      <c r="Q43" s="23"/>
      <c r="R43" s="23"/>
      <c r="S43" s="23"/>
      <c r="T43" s="108"/>
      <c r="U43" s="23"/>
      <c r="V43" s="23"/>
      <c r="W43" s="24">
        <v>0.12</v>
      </c>
      <c r="X43" s="24">
        <v>0</v>
      </c>
      <c r="Y43" s="23"/>
      <c r="Z43" s="23"/>
      <c r="AA43" s="23"/>
      <c r="AH43" s="36"/>
      <c r="AI43" s="23">
        <v>0.05</v>
      </c>
      <c r="AJ43" s="24">
        <v>0.11</v>
      </c>
      <c r="AK43" s="24">
        <v>0</v>
      </c>
      <c r="AM43" s="25"/>
      <c r="AT43" s="255"/>
      <c r="AU43" s="23"/>
      <c r="AV43" s="23"/>
      <c r="AW43" s="24">
        <v>0.23</v>
      </c>
      <c r="AX43" s="24">
        <v>0.11</v>
      </c>
      <c r="AZ43" s="23"/>
      <c r="BG43" s="24"/>
    </row>
    <row r="44" spans="2:59" x14ac:dyDescent="0.35">
      <c r="B44" s="8"/>
      <c r="G44" s="9"/>
      <c r="H44" s="22"/>
      <c r="I44" s="23"/>
      <c r="L44" s="43"/>
      <c r="M44" s="23"/>
      <c r="N44" s="23"/>
      <c r="O44" s="23"/>
      <c r="P44" s="23"/>
      <c r="Q44" s="23"/>
      <c r="R44" s="23"/>
      <c r="S44" s="23"/>
      <c r="T44" s="108"/>
      <c r="AD44" s="45"/>
      <c r="AH44" s="25"/>
      <c r="AM44" s="25"/>
      <c r="AT44" s="255"/>
      <c r="AZ44" s="23"/>
      <c r="BA44" s="23"/>
      <c r="BB44" s="23"/>
      <c r="BC44" s="23"/>
      <c r="BD44" s="23"/>
      <c r="BE44" s="23"/>
      <c r="BF44" s="23"/>
      <c r="BG44" s="24"/>
    </row>
    <row r="45" spans="2:59" x14ac:dyDescent="0.35">
      <c r="B45" s="10" t="s">
        <v>534</v>
      </c>
      <c r="C45" s="32"/>
      <c r="D45" s="32"/>
      <c r="E45" s="32"/>
      <c r="F45" s="32"/>
      <c r="G45" s="11"/>
      <c r="H45" s="30"/>
      <c r="I45" s="31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4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3"/>
      <c r="AN45" s="32"/>
      <c r="AO45" s="32"/>
      <c r="AP45" s="32"/>
      <c r="AQ45" s="32"/>
      <c r="AR45" s="32"/>
      <c r="AS45" s="32"/>
      <c r="AT45" s="34"/>
      <c r="AU45" s="32"/>
      <c r="AV45" s="32"/>
      <c r="AW45" s="32"/>
      <c r="AX45" s="32"/>
      <c r="AY45" s="32"/>
      <c r="AZ45" s="31"/>
      <c r="BA45" s="31"/>
      <c r="BB45" s="31"/>
      <c r="BC45" s="31"/>
      <c r="BD45" s="31"/>
      <c r="BE45" s="31"/>
      <c r="BF45" s="31"/>
      <c r="BG45" s="32"/>
    </row>
    <row r="46" spans="2:59" x14ac:dyDescent="0.35">
      <c r="B46" s="8" t="s">
        <v>49</v>
      </c>
      <c r="G46" s="9" t="s">
        <v>30</v>
      </c>
      <c r="H46" s="22"/>
      <c r="I46" s="23">
        <v>320</v>
      </c>
      <c r="J46" s="24">
        <v>290</v>
      </c>
      <c r="K46" s="24">
        <v>99</v>
      </c>
      <c r="L46" s="23" t="s">
        <v>127</v>
      </c>
      <c r="M46" s="23" t="s">
        <v>127</v>
      </c>
      <c r="N46" s="23"/>
      <c r="O46" s="23" t="s">
        <v>127</v>
      </c>
      <c r="P46" s="23"/>
      <c r="Q46" s="23"/>
      <c r="R46" s="23" t="s">
        <v>127</v>
      </c>
      <c r="S46" s="23"/>
      <c r="T46" s="108" t="s">
        <v>127</v>
      </c>
      <c r="V46" s="24">
        <v>9800</v>
      </c>
      <c r="W46" s="24">
        <v>41000</v>
      </c>
      <c r="X46" s="24">
        <v>60000</v>
      </c>
      <c r="Y46" s="24">
        <v>42000</v>
      </c>
      <c r="Z46" s="24">
        <v>30000</v>
      </c>
      <c r="AB46" s="24">
        <v>25000</v>
      </c>
      <c r="AE46" s="237">
        <v>8900</v>
      </c>
      <c r="AF46" s="237"/>
      <c r="AG46" s="237">
        <v>32000</v>
      </c>
      <c r="AH46" s="25"/>
      <c r="AI46" s="24">
        <v>1100</v>
      </c>
      <c r="AJ46" s="24">
        <v>53</v>
      </c>
      <c r="AK46" s="24">
        <v>130</v>
      </c>
      <c r="AL46" s="24">
        <v>190</v>
      </c>
      <c r="AM46" s="25"/>
      <c r="AO46" s="23" t="s">
        <v>127</v>
      </c>
      <c r="AP46" s="23"/>
      <c r="AQ46" s="23"/>
      <c r="AR46" s="23" t="s">
        <v>127</v>
      </c>
      <c r="AS46" s="23"/>
      <c r="AT46" s="108" t="s">
        <v>127</v>
      </c>
      <c r="AW46" s="24" t="s">
        <v>50</v>
      </c>
      <c r="AX46" s="24" t="s">
        <v>50</v>
      </c>
      <c r="AY46" s="23" t="s">
        <v>127</v>
      </c>
      <c r="AZ46" s="23" t="s">
        <v>127</v>
      </c>
      <c r="BB46" s="23" t="s">
        <v>127</v>
      </c>
      <c r="BC46" s="23"/>
      <c r="BD46" s="23"/>
      <c r="BE46" s="23" t="s">
        <v>127</v>
      </c>
      <c r="BF46" s="23"/>
      <c r="BG46" s="24" t="s">
        <v>127</v>
      </c>
    </row>
    <row r="47" spans="2:59" x14ac:dyDescent="0.35">
      <c r="B47" s="8" t="s">
        <v>91</v>
      </c>
      <c r="G47" s="9" t="s">
        <v>30</v>
      </c>
      <c r="H47" s="22">
        <v>770</v>
      </c>
      <c r="I47" s="23"/>
      <c r="T47" s="255"/>
      <c r="U47" s="24">
        <v>3110</v>
      </c>
      <c r="AH47" s="25">
        <v>310</v>
      </c>
      <c r="AM47" s="25"/>
      <c r="AT47" s="255"/>
      <c r="AU47" s="24">
        <v>10</v>
      </c>
      <c r="AZ47" s="23"/>
      <c r="BG47" s="24"/>
    </row>
    <row r="48" spans="2:59" x14ac:dyDescent="0.35">
      <c r="B48" s="8" t="s">
        <v>92</v>
      </c>
      <c r="G48" s="9" t="s">
        <v>30</v>
      </c>
      <c r="H48" s="22">
        <v>20</v>
      </c>
      <c r="I48" s="23"/>
      <c r="T48" s="255"/>
      <c r="U48" s="24">
        <v>370</v>
      </c>
      <c r="AH48" s="25">
        <v>130</v>
      </c>
      <c r="AM48" s="25"/>
      <c r="AT48" s="255"/>
      <c r="AU48" s="24">
        <v>20</v>
      </c>
      <c r="AZ48" s="23"/>
      <c r="BG48" s="24"/>
    </row>
    <row r="49" spans="2:59" x14ac:dyDescent="0.35">
      <c r="B49" s="8" t="s">
        <v>93</v>
      </c>
      <c r="G49" s="9" t="s">
        <v>30</v>
      </c>
      <c r="H49" s="22">
        <v>10</v>
      </c>
      <c r="I49" s="23"/>
      <c r="T49" s="255"/>
      <c r="U49" s="24">
        <v>10</v>
      </c>
      <c r="AH49" s="25">
        <v>10</v>
      </c>
      <c r="AM49" s="25"/>
      <c r="AT49" s="255"/>
      <c r="AU49" s="24">
        <v>10</v>
      </c>
      <c r="AZ49" s="23"/>
      <c r="BG49" s="24"/>
    </row>
    <row r="50" spans="2:59" x14ac:dyDescent="0.35">
      <c r="B50" s="8" t="s">
        <v>94</v>
      </c>
      <c r="G50" s="9" t="s">
        <v>30</v>
      </c>
      <c r="H50" s="22">
        <v>10</v>
      </c>
      <c r="I50" s="23"/>
      <c r="T50" s="255"/>
      <c r="U50" s="24">
        <v>10</v>
      </c>
      <c r="AH50" s="25">
        <v>10</v>
      </c>
      <c r="AM50" s="25"/>
      <c r="AT50" s="255"/>
      <c r="AU50" s="24">
        <v>10</v>
      </c>
      <c r="AZ50" s="23"/>
      <c r="BG50" s="24"/>
    </row>
    <row r="51" spans="2:59" x14ac:dyDescent="0.35">
      <c r="B51" s="13" t="s">
        <v>102</v>
      </c>
      <c r="C51" s="24">
        <v>50</v>
      </c>
      <c r="D51" s="24">
        <v>300</v>
      </c>
      <c r="E51" s="24">
        <v>400</v>
      </c>
      <c r="F51" s="24">
        <v>500</v>
      </c>
      <c r="G51" s="9" t="s">
        <v>30</v>
      </c>
      <c r="H51" s="22">
        <v>780</v>
      </c>
      <c r="I51" s="23"/>
      <c r="T51" s="255"/>
      <c r="U51" s="23">
        <v>3490</v>
      </c>
      <c r="V51" s="23"/>
      <c r="AH51" s="36">
        <v>450</v>
      </c>
      <c r="AI51" s="23"/>
      <c r="AM51" s="25"/>
      <c r="AT51" s="255"/>
      <c r="AU51" s="23" t="s">
        <v>106</v>
      </c>
      <c r="AV51" s="23"/>
      <c r="AZ51" s="23"/>
      <c r="BG51" s="24"/>
    </row>
    <row r="52" spans="2:59" x14ac:dyDescent="0.35">
      <c r="B52" s="8"/>
      <c r="G52" s="9"/>
      <c r="H52" s="22"/>
      <c r="I52" s="23"/>
      <c r="T52" s="255"/>
      <c r="AH52" s="25"/>
      <c r="AM52" s="25"/>
      <c r="AT52" s="255"/>
      <c r="AZ52" s="23"/>
      <c r="BA52" s="23"/>
      <c r="BB52" s="23"/>
      <c r="BC52" s="23"/>
      <c r="BD52" s="23"/>
      <c r="BE52" s="23"/>
      <c r="BF52" s="23"/>
      <c r="BG52" s="24"/>
    </row>
    <row r="53" spans="2:59" x14ac:dyDescent="0.35">
      <c r="B53" s="10" t="s">
        <v>535</v>
      </c>
      <c r="C53" s="32"/>
      <c r="D53" s="32"/>
      <c r="E53" s="32"/>
      <c r="F53" s="32"/>
      <c r="G53" s="11"/>
      <c r="H53" s="30"/>
      <c r="I53" s="31"/>
      <c r="J53" s="32"/>
      <c r="K53" s="32"/>
      <c r="L53" s="32"/>
      <c r="M53" s="32"/>
      <c r="N53" s="32"/>
      <c r="O53" s="32"/>
      <c r="P53" s="32"/>
      <c r="Q53" s="32"/>
      <c r="R53" s="152"/>
      <c r="S53" s="152"/>
      <c r="T53" s="151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3"/>
      <c r="AI53" s="32"/>
      <c r="AJ53" s="32"/>
      <c r="AK53" s="32"/>
      <c r="AL53" s="32"/>
      <c r="AM53" s="33"/>
      <c r="AN53" s="32"/>
      <c r="AO53" s="32"/>
      <c r="AP53" s="32"/>
      <c r="AQ53" s="32"/>
      <c r="AR53" s="32"/>
      <c r="AS53" s="32"/>
      <c r="AT53" s="34"/>
      <c r="AU53" s="32"/>
      <c r="AV53" s="32"/>
      <c r="AW53" s="32"/>
      <c r="AX53" s="32"/>
      <c r="AY53" s="32"/>
      <c r="AZ53" s="31"/>
      <c r="BA53" s="31"/>
      <c r="BB53" s="31"/>
      <c r="BC53" s="31"/>
      <c r="BD53" s="31"/>
      <c r="BE53" s="31"/>
      <c r="BF53" s="31"/>
      <c r="BG53" s="32"/>
    </row>
    <row r="54" spans="2:59" x14ac:dyDescent="0.35">
      <c r="B54" s="8" t="s">
        <v>52</v>
      </c>
      <c r="C54" s="24">
        <v>0.5</v>
      </c>
      <c r="D54" s="24">
        <v>2</v>
      </c>
      <c r="E54" s="24">
        <v>8</v>
      </c>
      <c r="F54" s="24">
        <v>10</v>
      </c>
      <c r="G54" s="9" t="s">
        <v>30</v>
      </c>
      <c r="H54" s="22">
        <v>5.9</v>
      </c>
      <c r="I54" s="23"/>
      <c r="J54" s="35">
        <v>32</v>
      </c>
      <c r="K54" s="35">
        <v>15</v>
      </c>
      <c r="L54" s="35">
        <v>1.6</v>
      </c>
      <c r="M54" s="23">
        <v>1.1000000000000001</v>
      </c>
      <c r="N54" s="23"/>
      <c r="O54" s="23">
        <v>0.64</v>
      </c>
      <c r="P54" s="23"/>
      <c r="Q54" s="23"/>
      <c r="R54" s="23">
        <v>2.2000000000000002</v>
      </c>
      <c r="S54" s="23"/>
      <c r="T54" s="108">
        <v>3.7</v>
      </c>
      <c r="U54" s="23">
        <v>10000</v>
      </c>
      <c r="V54" s="23"/>
      <c r="W54" s="35">
        <v>34000</v>
      </c>
      <c r="X54" s="35">
        <v>38000</v>
      </c>
      <c r="Y54" s="35">
        <v>30000</v>
      </c>
      <c r="Z54" s="23">
        <v>24000</v>
      </c>
      <c r="AA54" s="23"/>
      <c r="AB54" s="23">
        <v>18000</v>
      </c>
      <c r="AC54" s="23"/>
      <c r="AE54" s="35">
        <v>7400</v>
      </c>
      <c r="AF54" s="35"/>
      <c r="AG54" s="35">
        <v>22000</v>
      </c>
      <c r="AH54" s="36">
        <v>1200</v>
      </c>
      <c r="AI54" s="23"/>
      <c r="AJ54" s="35">
        <v>33</v>
      </c>
      <c r="AK54" s="35">
        <v>100</v>
      </c>
      <c r="AL54" s="35">
        <v>120</v>
      </c>
      <c r="AM54" s="266">
        <v>18</v>
      </c>
      <c r="AN54" s="35"/>
      <c r="AO54" s="35">
        <v>11</v>
      </c>
      <c r="AP54" s="35"/>
      <c r="AQ54" s="35"/>
      <c r="AR54" s="35">
        <v>39</v>
      </c>
      <c r="AS54" s="35"/>
      <c r="AT54" s="158">
        <v>5.6</v>
      </c>
      <c r="AU54" s="24" t="s">
        <v>53</v>
      </c>
      <c r="AV54" s="23"/>
      <c r="AW54" s="24" t="s">
        <v>53</v>
      </c>
      <c r="AX54" s="24" t="s">
        <v>53</v>
      </c>
      <c r="AY54" s="39">
        <v>51</v>
      </c>
      <c r="AZ54" s="23" t="s">
        <v>126</v>
      </c>
      <c r="BB54" s="23" t="s">
        <v>411</v>
      </c>
      <c r="BC54" s="23"/>
      <c r="BD54" s="23"/>
      <c r="BE54" s="35">
        <v>33</v>
      </c>
      <c r="BF54" s="35"/>
      <c r="BG54" s="265">
        <v>0.2</v>
      </c>
    </row>
    <row r="55" spans="2:59" x14ac:dyDescent="0.35">
      <c r="B55" s="8" t="s">
        <v>54</v>
      </c>
      <c r="C55" s="24">
        <v>0.5</v>
      </c>
      <c r="D55" s="24">
        <v>20</v>
      </c>
      <c r="E55" s="24">
        <v>240</v>
      </c>
      <c r="F55" s="24">
        <v>300</v>
      </c>
      <c r="G55" s="9" t="s">
        <v>30</v>
      </c>
      <c r="H55" s="22">
        <v>11</v>
      </c>
      <c r="I55" s="23"/>
      <c r="J55" s="40">
        <v>41</v>
      </c>
      <c r="K55" s="37">
        <v>15</v>
      </c>
      <c r="L55" s="37">
        <v>0.56000000000000005</v>
      </c>
      <c r="M55" s="23">
        <v>18</v>
      </c>
      <c r="N55" s="23"/>
      <c r="O55" s="23" t="s">
        <v>126</v>
      </c>
      <c r="P55" s="35"/>
      <c r="Q55" s="35"/>
      <c r="R55" s="35">
        <v>0.52</v>
      </c>
      <c r="S55" s="35"/>
      <c r="T55" s="158">
        <v>0.28999999999999998</v>
      </c>
      <c r="U55" s="23">
        <v>720</v>
      </c>
      <c r="V55" s="23"/>
      <c r="W55" s="35">
        <v>1300</v>
      </c>
      <c r="X55" s="35">
        <v>1100</v>
      </c>
      <c r="Y55" s="35">
        <v>700</v>
      </c>
      <c r="Z55" s="23">
        <v>590</v>
      </c>
      <c r="AA55" s="23"/>
      <c r="AB55" s="23">
        <v>660</v>
      </c>
      <c r="AC55" s="23"/>
      <c r="AE55" s="35">
        <v>140</v>
      </c>
      <c r="AF55" s="35"/>
      <c r="AG55" s="35">
        <v>690</v>
      </c>
      <c r="AH55" s="36">
        <v>48</v>
      </c>
      <c r="AI55" s="23"/>
      <c r="AJ55" s="37">
        <v>9.8000000000000007</v>
      </c>
      <c r="AK55" s="37">
        <v>8</v>
      </c>
      <c r="AL55" s="37">
        <v>5.6</v>
      </c>
      <c r="AM55" s="203">
        <v>0.54</v>
      </c>
      <c r="AN55" s="37"/>
      <c r="AO55" s="37">
        <v>0.25</v>
      </c>
      <c r="AP55" s="37"/>
      <c r="AQ55" s="37"/>
      <c r="AR55" s="37">
        <v>0.41</v>
      </c>
      <c r="AS55" s="37"/>
      <c r="AT55" s="262">
        <v>0.2</v>
      </c>
      <c r="AU55" s="24" t="s">
        <v>55</v>
      </c>
      <c r="AV55" s="23"/>
      <c r="AW55" s="24" t="s">
        <v>55</v>
      </c>
      <c r="AX55" s="24" t="s">
        <v>55</v>
      </c>
      <c r="AY55" s="99">
        <v>1.7</v>
      </c>
      <c r="AZ55" s="23" t="s">
        <v>126</v>
      </c>
      <c r="BB55" s="23" t="s">
        <v>126</v>
      </c>
      <c r="BC55" s="23"/>
      <c r="BD55" s="23"/>
      <c r="BE55" s="24">
        <v>0.46</v>
      </c>
      <c r="BG55" s="265">
        <v>0.2</v>
      </c>
    </row>
    <row r="56" spans="2:59" x14ac:dyDescent="0.35">
      <c r="B56" s="8" t="s">
        <v>56</v>
      </c>
      <c r="C56" s="24">
        <v>0.5</v>
      </c>
      <c r="D56" s="24">
        <v>20</v>
      </c>
      <c r="E56" s="24">
        <v>560</v>
      </c>
      <c r="F56" s="24">
        <v>700</v>
      </c>
      <c r="G56" s="9" t="s">
        <v>30</v>
      </c>
      <c r="H56" s="22">
        <v>38</v>
      </c>
      <c r="I56" s="23"/>
      <c r="J56" s="37">
        <v>17</v>
      </c>
      <c r="K56" s="37">
        <v>5.5</v>
      </c>
      <c r="L56" s="37">
        <v>1.5</v>
      </c>
      <c r="M56" s="23">
        <v>0.74</v>
      </c>
      <c r="N56" s="23"/>
      <c r="O56" s="23" t="s">
        <v>126</v>
      </c>
      <c r="P56" s="35"/>
      <c r="Q56" s="35"/>
      <c r="R56" s="35">
        <v>1.5</v>
      </c>
      <c r="S56" s="35"/>
      <c r="T56" s="158">
        <v>3.2</v>
      </c>
      <c r="U56" s="23">
        <v>5</v>
      </c>
      <c r="V56" s="23"/>
      <c r="W56" s="35">
        <v>720</v>
      </c>
      <c r="X56" s="35">
        <v>11000</v>
      </c>
      <c r="Y56" s="35">
        <v>7600</v>
      </c>
      <c r="Z56" s="23">
        <v>2300</v>
      </c>
      <c r="AA56" s="23"/>
      <c r="AB56" s="23">
        <v>2900</v>
      </c>
      <c r="AC56" s="23"/>
      <c r="AE56" s="35">
        <v>860</v>
      </c>
      <c r="AF56" s="35"/>
      <c r="AG56" s="35">
        <v>7100</v>
      </c>
      <c r="AH56" s="36">
        <v>11</v>
      </c>
      <c r="AI56" s="23"/>
      <c r="AJ56" s="37">
        <v>0.7</v>
      </c>
      <c r="AK56" s="37">
        <v>1.2</v>
      </c>
      <c r="AL56" s="37">
        <v>24</v>
      </c>
      <c r="AM56" s="203">
        <v>0.51</v>
      </c>
      <c r="AN56" s="37"/>
      <c r="AO56" s="37">
        <v>0.23</v>
      </c>
      <c r="AP56" s="37"/>
      <c r="AQ56" s="37"/>
      <c r="AR56" s="37">
        <v>4.8</v>
      </c>
      <c r="AS56" s="37"/>
      <c r="AT56" s="38">
        <v>0.42</v>
      </c>
      <c r="AU56" s="24" t="s">
        <v>55</v>
      </c>
      <c r="AV56" s="23"/>
      <c r="AW56" s="24" t="s">
        <v>55</v>
      </c>
      <c r="AX56" s="24" t="s">
        <v>55</v>
      </c>
      <c r="AY56" s="99">
        <v>18</v>
      </c>
      <c r="AZ56" s="23" t="s">
        <v>126</v>
      </c>
      <c r="BB56" s="23" t="s">
        <v>126</v>
      </c>
      <c r="BC56" s="23"/>
      <c r="BD56" s="23"/>
      <c r="BE56" s="24">
        <v>4.9000000000000004</v>
      </c>
      <c r="BG56" s="24">
        <v>0.34</v>
      </c>
    </row>
    <row r="57" spans="2:59" x14ac:dyDescent="0.35">
      <c r="B57" s="8" t="s">
        <v>57</v>
      </c>
      <c r="C57" s="24">
        <v>0.5</v>
      </c>
      <c r="D57" s="24">
        <v>20</v>
      </c>
      <c r="E57" s="24">
        <v>400</v>
      </c>
      <c r="F57" s="24">
        <v>500</v>
      </c>
      <c r="G57" s="9" t="s">
        <v>30</v>
      </c>
      <c r="H57" s="22">
        <v>70</v>
      </c>
      <c r="I57" s="23"/>
      <c r="J57" s="40">
        <v>36</v>
      </c>
      <c r="K57" s="37">
        <v>9.9</v>
      </c>
      <c r="L57" s="37">
        <v>2.2000000000000002</v>
      </c>
      <c r="M57" s="23">
        <v>3</v>
      </c>
      <c r="N57" s="23"/>
      <c r="O57" s="23" t="s">
        <v>348</v>
      </c>
      <c r="P57" s="35"/>
      <c r="Q57" s="35"/>
      <c r="R57" s="23" t="s">
        <v>346</v>
      </c>
      <c r="S57" s="23"/>
      <c r="T57" s="108">
        <v>0.65</v>
      </c>
      <c r="U57" s="23">
        <v>630</v>
      </c>
      <c r="V57" s="23"/>
      <c r="W57" s="35">
        <v>5000</v>
      </c>
      <c r="X57" s="35">
        <v>4600</v>
      </c>
      <c r="Y57" s="35">
        <v>3100</v>
      </c>
      <c r="Z57" s="23">
        <v>2300</v>
      </c>
      <c r="AA57" s="23"/>
      <c r="AB57" s="23">
        <v>2300</v>
      </c>
      <c r="AC57" s="23"/>
      <c r="AE57" s="35">
        <v>350</v>
      </c>
      <c r="AF57" s="35"/>
      <c r="AG57" s="35">
        <v>2200</v>
      </c>
      <c r="AH57" s="36">
        <v>37</v>
      </c>
      <c r="AI57" s="23"/>
      <c r="AJ57" s="37">
        <v>1.9</v>
      </c>
      <c r="AK57" s="37">
        <v>3.9</v>
      </c>
      <c r="AL57" s="37">
        <v>11</v>
      </c>
      <c r="AM57" s="203">
        <v>0.63</v>
      </c>
      <c r="AN57" s="37"/>
      <c r="AO57" s="37" t="s">
        <v>348</v>
      </c>
      <c r="AP57" s="37"/>
      <c r="AQ57" s="37"/>
      <c r="AR57" s="37">
        <v>1</v>
      </c>
      <c r="AS57" s="37"/>
      <c r="AT57" s="262">
        <v>0.4</v>
      </c>
      <c r="AU57" s="23"/>
      <c r="AV57" s="23"/>
      <c r="AY57" s="99">
        <v>7.6</v>
      </c>
      <c r="AZ57" s="23" t="s">
        <v>348</v>
      </c>
      <c r="BB57" s="23" t="s">
        <v>348</v>
      </c>
      <c r="BC57" s="23"/>
      <c r="BD57" s="23"/>
      <c r="BE57" s="24">
        <v>1.1000000000000001</v>
      </c>
      <c r="BG57" s="265">
        <v>0.4</v>
      </c>
    </row>
    <row r="58" spans="2:59" x14ac:dyDescent="0.35">
      <c r="B58" s="8" t="s">
        <v>57</v>
      </c>
      <c r="G58" s="9" t="s">
        <v>30</v>
      </c>
      <c r="H58" s="22"/>
      <c r="I58" s="23"/>
      <c r="M58" s="23"/>
      <c r="N58" s="23"/>
      <c r="O58" s="23"/>
      <c r="P58" s="23"/>
      <c r="Q58" s="23"/>
      <c r="R58" s="23"/>
      <c r="S58" s="23"/>
      <c r="T58" s="108"/>
      <c r="AH58" s="25"/>
      <c r="AM58" s="25"/>
      <c r="AT58" s="255"/>
      <c r="AZ58" s="23"/>
      <c r="BG58" s="265"/>
    </row>
    <row r="59" spans="2:59" x14ac:dyDescent="0.35">
      <c r="B59" s="8" t="s">
        <v>58</v>
      </c>
      <c r="G59" s="9" t="s">
        <v>30</v>
      </c>
      <c r="H59" s="22">
        <v>42</v>
      </c>
      <c r="I59" s="23"/>
      <c r="J59" s="24">
        <v>20</v>
      </c>
      <c r="K59" s="24">
        <v>4.7</v>
      </c>
      <c r="L59" s="24">
        <v>0.59</v>
      </c>
      <c r="M59" s="23">
        <v>1.2</v>
      </c>
      <c r="N59" s="23"/>
      <c r="O59" s="23" t="s">
        <v>126</v>
      </c>
      <c r="P59" s="23"/>
      <c r="Q59" s="23"/>
      <c r="R59" s="23">
        <v>0.21</v>
      </c>
      <c r="S59" s="23"/>
      <c r="T59" s="108">
        <v>0.38</v>
      </c>
      <c r="U59" s="24">
        <v>600</v>
      </c>
      <c r="W59" s="24">
        <v>4000</v>
      </c>
      <c r="X59" s="24">
        <v>3600</v>
      </c>
      <c r="Y59" s="24">
        <v>2300</v>
      </c>
      <c r="Z59" s="24">
        <v>1700</v>
      </c>
      <c r="AB59" s="24">
        <v>1700</v>
      </c>
      <c r="AE59" s="24">
        <v>240</v>
      </c>
      <c r="AG59" s="24">
        <v>1600</v>
      </c>
      <c r="AH59" s="25">
        <v>23</v>
      </c>
      <c r="AJ59" s="24">
        <v>0.68</v>
      </c>
      <c r="AK59" s="24">
        <v>1.5</v>
      </c>
      <c r="AL59" s="24">
        <v>7.8</v>
      </c>
      <c r="AM59" s="25">
        <v>0.27</v>
      </c>
      <c r="AO59" s="24">
        <v>0.2</v>
      </c>
      <c r="AR59" s="24">
        <v>0.66</v>
      </c>
      <c r="AT59" s="263">
        <v>0.2</v>
      </c>
      <c r="AU59" s="24" t="s">
        <v>53</v>
      </c>
      <c r="AW59" s="24" t="s">
        <v>53</v>
      </c>
      <c r="AX59" s="24" t="s">
        <v>53</v>
      </c>
      <c r="AY59" s="24">
        <v>5.6</v>
      </c>
      <c r="AZ59" s="23" t="s">
        <v>126</v>
      </c>
      <c r="BB59" s="23" t="s">
        <v>126</v>
      </c>
      <c r="BC59" s="23"/>
      <c r="BD59" s="23"/>
      <c r="BE59" s="24">
        <v>0.73</v>
      </c>
      <c r="BG59" s="265">
        <v>0.2</v>
      </c>
    </row>
    <row r="60" spans="2:59" x14ac:dyDescent="0.35">
      <c r="B60" s="8" t="s">
        <v>59</v>
      </c>
      <c r="G60" s="9" t="s">
        <v>30</v>
      </c>
      <c r="H60" s="22">
        <v>28</v>
      </c>
      <c r="I60" s="23"/>
      <c r="J60" s="24">
        <v>16</v>
      </c>
      <c r="K60" s="23">
        <v>5.2</v>
      </c>
      <c r="L60" s="24">
        <v>1.9</v>
      </c>
      <c r="M60" s="23">
        <v>1.8</v>
      </c>
      <c r="N60" s="23"/>
      <c r="O60" s="23" t="s">
        <v>126</v>
      </c>
      <c r="P60" s="23"/>
      <c r="Q60" s="23"/>
      <c r="R60" s="23" t="s">
        <v>442</v>
      </c>
      <c r="S60" s="23"/>
      <c r="T60" s="108">
        <v>0.28000000000000003</v>
      </c>
      <c r="U60" s="23">
        <v>34</v>
      </c>
      <c r="V60" s="23"/>
      <c r="W60" s="24">
        <v>1000</v>
      </c>
      <c r="X60" s="23">
        <v>960</v>
      </c>
      <c r="Y60" s="24">
        <v>770</v>
      </c>
      <c r="Z60" s="23">
        <v>560</v>
      </c>
      <c r="AA60" s="23"/>
      <c r="AB60" s="23">
        <v>590</v>
      </c>
      <c r="AC60" s="23"/>
      <c r="AE60" s="24">
        <v>110</v>
      </c>
      <c r="AG60" s="24">
        <v>550</v>
      </c>
      <c r="AH60" s="36">
        <v>14</v>
      </c>
      <c r="AI60" s="23"/>
      <c r="AJ60" s="24">
        <v>1.2</v>
      </c>
      <c r="AK60" s="23">
        <v>2.4</v>
      </c>
      <c r="AL60" s="24">
        <v>3.4</v>
      </c>
      <c r="AM60" s="36">
        <v>0.35</v>
      </c>
      <c r="AN60" s="23"/>
      <c r="AO60" s="23">
        <v>0.2</v>
      </c>
      <c r="AP60" s="23"/>
      <c r="AQ60" s="23"/>
      <c r="AR60" s="23">
        <v>0.36</v>
      </c>
      <c r="AS60" s="23"/>
      <c r="AT60" s="263">
        <v>0.2</v>
      </c>
      <c r="AU60" s="23" t="s">
        <v>60</v>
      </c>
      <c r="AV60" s="23"/>
      <c r="AW60" s="23" t="s">
        <v>60</v>
      </c>
      <c r="AX60" s="23" t="s">
        <v>60</v>
      </c>
      <c r="AY60" s="23">
        <v>1.9</v>
      </c>
      <c r="AZ60" s="23" t="s">
        <v>126</v>
      </c>
      <c r="BB60" s="23" t="s">
        <v>126</v>
      </c>
      <c r="BC60" s="23"/>
      <c r="BD60" s="23"/>
      <c r="BE60" s="24">
        <v>0.39</v>
      </c>
      <c r="BG60" s="265">
        <v>0.2</v>
      </c>
    </row>
    <row r="61" spans="2:59" x14ac:dyDescent="0.35">
      <c r="B61" s="8"/>
      <c r="G61" s="9"/>
      <c r="H61" s="22"/>
      <c r="I61" s="23"/>
      <c r="K61" s="23"/>
      <c r="M61" s="23"/>
      <c r="N61" s="23"/>
      <c r="O61" s="23"/>
      <c r="P61" s="23"/>
      <c r="Q61" s="23"/>
      <c r="R61" s="23"/>
      <c r="S61" s="23"/>
      <c r="T61" s="108"/>
      <c r="U61" s="23"/>
      <c r="V61" s="23"/>
      <c r="X61" s="23"/>
      <c r="Z61" s="23"/>
      <c r="AA61" s="23"/>
      <c r="AH61" s="36"/>
      <c r="AI61" s="23"/>
      <c r="AK61" s="23"/>
      <c r="AM61" s="36"/>
      <c r="AN61" s="23"/>
      <c r="AO61" s="23"/>
      <c r="AP61" s="23"/>
      <c r="AQ61" s="23"/>
      <c r="AR61" s="23"/>
      <c r="AS61" s="23"/>
      <c r="AT61" s="255"/>
      <c r="AU61" s="23"/>
      <c r="AV61" s="23"/>
      <c r="AW61" s="23"/>
      <c r="AX61" s="23"/>
      <c r="AY61" s="23"/>
      <c r="AZ61" s="23"/>
      <c r="BG61" s="24"/>
    </row>
    <row r="62" spans="2:59" x14ac:dyDescent="0.35">
      <c r="B62" s="13" t="s">
        <v>361</v>
      </c>
      <c r="G62" s="9" t="s">
        <v>30</v>
      </c>
      <c r="H62" s="41"/>
      <c r="I62" s="42"/>
      <c r="J62" s="43"/>
      <c r="K62" s="43"/>
      <c r="L62" s="43"/>
      <c r="M62" s="42" t="s">
        <v>362</v>
      </c>
      <c r="N62" s="23"/>
      <c r="O62" s="23" t="s">
        <v>362</v>
      </c>
      <c r="P62" s="23"/>
      <c r="Q62" s="23"/>
      <c r="R62" s="23">
        <v>4</v>
      </c>
      <c r="S62" s="23"/>
      <c r="T62" s="108" t="s">
        <v>501</v>
      </c>
      <c r="Z62" s="24">
        <v>1200</v>
      </c>
      <c r="AB62" s="24">
        <v>2400</v>
      </c>
      <c r="AE62" s="24">
        <v>820</v>
      </c>
      <c r="AG62" s="24">
        <v>3300</v>
      </c>
      <c r="AH62" s="44"/>
      <c r="AI62" s="45"/>
      <c r="AJ62" s="45"/>
      <c r="AK62" s="45"/>
      <c r="AL62" s="45"/>
      <c r="AM62" s="25">
        <v>9.3000000000000007</v>
      </c>
      <c r="AO62" s="24">
        <v>5</v>
      </c>
      <c r="AR62" s="24">
        <v>3.1</v>
      </c>
      <c r="AT62" s="255">
        <v>4.2</v>
      </c>
      <c r="AZ62" s="23" t="s">
        <v>362</v>
      </c>
      <c r="BB62" s="24">
        <v>5.9</v>
      </c>
      <c r="BE62" s="24">
        <v>3.4</v>
      </c>
      <c r="BG62" s="24" t="s">
        <v>501</v>
      </c>
    </row>
    <row r="64" spans="2:59" ht="72.5" x14ac:dyDescent="0.35">
      <c r="B64" s="284" t="s">
        <v>536</v>
      </c>
    </row>
    <row r="66" spans="2:2" x14ac:dyDescent="0.35">
      <c r="B66" t="s">
        <v>110</v>
      </c>
    </row>
    <row r="67" spans="2:2" x14ac:dyDescent="0.35">
      <c r="B67" s="3" t="s">
        <v>537</v>
      </c>
    </row>
    <row r="68" spans="2:2" x14ac:dyDescent="0.35">
      <c r="B68" s="4" t="s">
        <v>537</v>
      </c>
    </row>
    <row r="69" spans="2:2" x14ac:dyDescent="0.35">
      <c r="B69" s="5" t="s">
        <v>538</v>
      </c>
    </row>
    <row r="70" spans="2:2" x14ac:dyDescent="0.35">
      <c r="B70" t="s">
        <v>539</v>
      </c>
    </row>
  </sheetData>
  <mergeCells count="5">
    <mergeCell ref="AU1:AY1"/>
    <mergeCell ref="H1:T1"/>
    <mergeCell ref="U1:AG1"/>
    <mergeCell ref="AH1:AT1"/>
    <mergeCell ref="AZ1:BG1"/>
  </mergeCells>
  <phoneticPr fontId="9" type="noConversion"/>
  <conditionalFormatting sqref="H25 Z54:AC57 M54:R54 P55:R56 M26:S30 M44:S44 M42:S42 S54:S56">
    <cfRule type="cellIs" dxfId="704" priority="70" stopIfTrue="1" operator="greaterThanOrEqual">
      <formula>$E25</formula>
    </cfRule>
    <cfRule type="cellIs" dxfId="703" priority="71" stopIfTrue="1" operator="greaterThanOrEqual">
      <formula>$D25</formula>
    </cfRule>
    <cfRule type="cellIs" dxfId="702" priority="72" stopIfTrue="1" operator="greaterThanOrEqual">
      <formula>$C25</formula>
    </cfRule>
  </conditionalFormatting>
  <conditionalFormatting sqref="H26">
    <cfRule type="cellIs" dxfId="701" priority="67" stopIfTrue="1" operator="greaterThanOrEqual">
      <formula>$E26</formula>
    </cfRule>
    <cfRule type="cellIs" dxfId="700" priority="68" stopIfTrue="1" operator="greaterThanOrEqual">
      <formula>$D26</formula>
    </cfRule>
    <cfRule type="cellIs" dxfId="699" priority="69" stopIfTrue="1" operator="greaterThanOrEqual">
      <formula>$C26</formula>
    </cfRule>
  </conditionalFormatting>
  <conditionalFormatting sqref="H51">
    <cfRule type="cellIs" dxfId="698" priority="58" stopIfTrue="1" operator="greaterThanOrEqual">
      <formula>$E51</formula>
    </cfRule>
    <cfRule type="cellIs" dxfId="697" priority="59" stopIfTrue="1" operator="greaterThanOrEqual">
      <formula>$D51</formula>
    </cfRule>
    <cfRule type="cellIs" dxfId="696" priority="60" stopIfTrue="1" operator="greaterThanOrEqual">
      <formula>$C51</formula>
    </cfRule>
  </conditionalFormatting>
  <conditionalFormatting sqref="H54:H57">
    <cfRule type="cellIs" dxfId="695" priority="61" stopIfTrue="1" operator="greaterThanOrEqual">
      <formula>$E54</formula>
    </cfRule>
    <cfRule type="cellIs" dxfId="694" priority="62" stopIfTrue="1" operator="greaterThanOrEqual">
      <formula>$D54</formula>
    </cfRule>
    <cfRule type="cellIs" dxfId="693" priority="63" stopIfTrue="1" operator="greaterThanOrEqual">
      <formula>$C54</formula>
    </cfRule>
  </conditionalFormatting>
  <conditionalFormatting sqref="AU57:AV57 AH54:AI57 U54:V57 AV51 AH51:AI51 U51:V51 AU25:AV29 AV54:AV56 U25:V26 AH25:AI30 U39:V40 U27:U38 U43:V43 AH40:AI40 AH31:AH39 AH41:AH43 U41:U42 AU31:AV43">
    <cfRule type="cellIs" dxfId="692" priority="52" stopIfTrue="1" operator="greaterThanOrEqual">
      <formula>$E25</formula>
    </cfRule>
    <cfRule type="cellIs" dxfId="691" priority="53" stopIfTrue="1" operator="greaterThanOrEqual">
      <formula>$D25</formula>
    </cfRule>
    <cfRule type="cellIs" dxfId="690" priority="54" stopIfTrue="1" operator="greaterThanOrEqual">
      <formula>$C25</formula>
    </cfRule>
  </conditionalFormatting>
  <conditionalFormatting sqref="I54:I57 I51 I25">
    <cfRule type="cellIs" dxfId="689" priority="55" stopIfTrue="1" operator="greaterThanOrEqual">
      <formula>$E25</formula>
    </cfRule>
    <cfRule type="cellIs" dxfId="688" priority="56" stopIfTrue="1" operator="greaterThanOrEqual">
      <formula>$D25</formula>
    </cfRule>
    <cfRule type="cellIs" dxfId="687" priority="57" stopIfTrue="1" operator="greaterThanOrEqual">
      <formula>$C25</formula>
    </cfRule>
  </conditionalFormatting>
  <conditionalFormatting sqref="H27">
    <cfRule type="cellIs" dxfId="686" priority="43" stopIfTrue="1" operator="greaterThanOrEqual">
      <formula>$E27</formula>
    </cfRule>
    <cfRule type="cellIs" dxfId="685" priority="44" stopIfTrue="1" operator="greaterThanOrEqual">
      <formula>$D27</formula>
    </cfRule>
    <cfRule type="cellIs" dxfId="684" priority="45" stopIfTrue="1" operator="greaterThanOrEqual">
      <formula>$C27</formula>
    </cfRule>
  </conditionalFormatting>
  <conditionalFormatting sqref="H28:H30 H39 H42">
    <cfRule type="cellIs" dxfId="683" priority="40" stopIfTrue="1" operator="greaterThanOrEqual">
      <formula>$E28</formula>
    </cfRule>
    <cfRule type="cellIs" dxfId="682" priority="41" stopIfTrue="1" operator="greaterThanOrEqual">
      <formula>$D28</formula>
    </cfRule>
    <cfRule type="cellIs" dxfId="681" priority="42" stopIfTrue="1" operator="greaterThanOrEqual">
      <formula>$C28</formula>
    </cfRule>
  </conditionalFormatting>
  <conditionalFormatting sqref="I26">
    <cfRule type="cellIs" dxfId="680" priority="37" stopIfTrue="1" operator="greaterThanOrEqual">
      <formula>$E26</formula>
    </cfRule>
    <cfRule type="cellIs" dxfId="679" priority="38" stopIfTrue="1" operator="greaterThanOrEqual">
      <formula>$D26</formula>
    </cfRule>
    <cfRule type="cellIs" dxfId="678" priority="39" stopIfTrue="1" operator="greaterThanOrEqual">
      <formula>$C26</formula>
    </cfRule>
  </conditionalFormatting>
  <conditionalFormatting sqref="I27">
    <cfRule type="cellIs" dxfId="677" priority="34" stopIfTrue="1" operator="greaterThanOrEqual">
      <formula>$E27</formula>
    </cfRule>
    <cfRule type="cellIs" dxfId="676" priority="35" stopIfTrue="1" operator="greaterThanOrEqual">
      <formula>$D27</formula>
    </cfRule>
    <cfRule type="cellIs" dxfId="675" priority="36" stopIfTrue="1" operator="greaterThanOrEqual">
      <formula>$C27</formula>
    </cfRule>
  </conditionalFormatting>
  <conditionalFormatting sqref="I28:I30 I39 I42">
    <cfRule type="cellIs" dxfId="674" priority="31" stopIfTrue="1" operator="greaterThanOrEqual">
      <formula>$E28</formula>
    </cfRule>
    <cfRule type="cellIs" dxfId="673" priority="32" stopIfTrue="1" operator="greaterThanOrEqual">
      <formula>$D28</formula>
    </cfRule>
    <cfRule type="cellIs" dxfId="672" priority="33" stopIfTrue="1" operator="greaterThanOrEqual">
      <formula>$C28</formula>
    </cfRule>
  </conditionalFormatting>
  <conditionalFormatting sqref="M39:S39">
    <cfRule type="cellIs" dxfId="671" priority="19" stopIfTrue="1" operator="greaterThanOrEqual">
      <formula>$E39</formula>
    </cfRule>
    <cfRule type="cellIs" dxfId="670" priority="20" stopIfTrue="1" operator="greaterThanOrEqual">
      <formula>$D39</formula>
    </cfRule>
    <cfRule type="cellIs" dxfId="669" priority="21" stopIfTrue="1" operator="greaterThanOrEqual">
      <formula>$C39</formula>
    </cfRule>
  </conditionalFormatting>
  <conditionalFormatting sqref="M55:N57 P57:S57">
    <cfRule type="cellIs" dxfId="668" priority="13" stopIfTrue="1" operator="greaterThanOrEqual">
      <formula>$E55</formula>
    </cfRule>
    <cfRule type="cellIs" dxfId="667" priority="14" stopIfTrue="1" operator="greaterThanOrEqual">
      <formula>$D55</formula>
    </cfRule>
    <cfRule type="cellIs" dxfId="666" priority="15" stopIfTrue="1" operator="greaterThanOrEqual">
      <formula>$C55</formula>
    </cfRule>
  </conditionalFormatting>
  <conditionalFormatting sqref="T54:T56 T26:T30 T44 T42">
    <cfRule type="cellIs" dxfId="665" priority="7" stopIfTrue="1" operator="greaterThanOrEqual">
      <formula>$E26</formula>
    </cfRule>
    <cfRule type="cellIs" dxfId="664" priority="8" stopIfTrue="1" operator="greaterThanOrEqual">
      <formula>$D26</formula>
    </cfRule>
    <cfRule type="cellIs" dxfId="663" priority="9" stopIfTrue="1" operator="greaterThanOrEqual">
      <formula>$C26</formula>
    </cfRule>
  </conditionalFormatting>
  <conditionalFormatting sqref="T39">
    <cfRule type="cellIs" dxfId="662" priority="4" stopIfTrue="1" operator="greaterThanOrEqual">
      <formula>$E39</formula>
    </cfRule>
    <cfRule type="cellIs" dxfId="661" priority="5" stopIfTrue="1" operator="greaterThanOrEqual">
      <formula>$D39</formula>
    </cfRule>
    <cfRule type="cellIs" dxfId="660" priority="6" stopIfTrue="1" operator="greaterThanOrEqual">
      <formula>$C39</formula>
    </cfRule>
  </conditionalFormatting>
  <conditionalFormatting sqref="T57">
    <cfRule type="cellIs" dxfId="659" priority="1" stopIfTrue="1" operator="greaterThanOrEqual">
      <formula>$E57</formula>
    </cfRule>
    <cfRule type="cellIs" dxfId="658" priority="2" stopIfTrue="1" operator="greaterThanOrEqual">
      <formula>$D57</formula>
    </cfRule>
    <cfRule type="cellIs" dxfId="657" priority="3" stopIfTrue="1" operator="greaterThanOrEqual">
      <formula>$C57</formula>
    </cfRule>
  </conditionalFormatting>
  <pageMargins left="0.7" right="0.7" top="0.75" bottom="0.75" header="0.3" footer="0.3"/>
  <pageSetup scale="27" orientation="landscape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2D956-4609-45E9-BAB3-62C269111031}">
  <dimension ref="A1:AP44"/>
  <sheetViews>
    <sheetView view="pageBreakPreview" zoomScale="80" zoomScaleNormal="100" zoomScaleSheetLayoutView="80" workbookViewId="0">
      <selection activeCell="AE40" sqref="AE40"/>
    </sheetView>
  </sheetViews>
  <sheetFormatPr defaultRowHeight="14.5" x14ac:dyDescent="0.35"/>
  <cols>
    <col min="1" max="1" width="13.08984375" bestFit="1" customWidth="1"/>
    <col min="8" max="8" width="11.08984375" bestFit="1" customWidth="1"/>
    <col min="15" max="15" width="11.08984375" bestFit="1" customWidth="1"/>
    <col min="22" max="22" width="11.08984375" bestFit="1" customWidth="1"/>
    <col min="30" max="30" width="11.08984375" bestFit="1" customWidth="1"/>
  </cols>
  <sheetData>
    <row r="1" spans="1:27" x14ac:dyDescent="0.35">
      <c r="C1" s="129" t="s">
        <v>44</v>
      </c>
      <c r="J1" s="129" t="s">
        <v>33</v>
      </c>
      <c r="Q1" s="129" t="s">
        <v>235</v>
      </c>
      <c r="X1" s="129" t="s">
        <v>29</v>
      </c>
    </row>
    <row r="2" spans="1:27" x14ac:dyDescent="0.35">
      <c r="B2" s="146">
        <v>20</v>
      </c>
      <c r="C2" s="146">
        <v>50</v>
      </c>
      <c r="D2" s="146">
        <v>90</v>
      </c>
      <c r="E2" s="146">
        <v>100</v>
      </c>
      <c r="I2" s="146">
        <v>20</v>
      </c>
      <c r="J2" s="146">
        <v>50</v>
      </c>
      <c r="K2" s="146">
        <v>90</v>
      </c>
      <c r="L2" s="146">
        <v>100</v>
      </c>
      <c r="P2" s="146">
        <v>20</v>
      </c>
      <c r="Q2" s="146">
        <v>50</v>
      </c>
      <c r="R2" s="146">
        <v>90</v>
      </c>
      <c r="S2" s="146">
        <v>100</v>
      </c>
      <c r="T2" s="130"/>
      <c r="W2" s="146">
        <v>20</v>
      </c>
      <c r="X2" s="146">
        <v>50</v>
      </c>
      <c r="Y2" s="146">
        <v>90</v>
      </c>
      <c r="Z2" s="146">
        <v>100</v>
      </c>
      <c r="AA2" s="130"/>
    </row>
    <row r="3" spans="1:27" hidden="1" x14ac:dyDescent="0.35">
      <c r="A3" s="147">
        <v>43768</v>
      </c>
      <c r="B3" s="148" t="str">
        <f>'Monitoring wells'!$I$40</f>
        <v>&lt;100</v>
      </c>
      <c r="C3" s="143">
        <f>'Monitoring wells'!$V$40</f>
        <v>170</v>
      </c>
      <c r="D3" s="143">
        <f>'Monitoring wells'!$AI$40</f>
        <v>130</v>
      </c>
      <c r="E3" s="143"/>
      <c r="H3" s="147">
        <v>43768</v>
      </c>
      <c r="I3" s="148">
        <f>'Monitoring wells'!$I$30</f>
        <v>9.0999999999999998E-2</v>
      </c>
      <c r="J3" s="143" t="str">
        <f>'Monitoring wells'!$V$30</f>
        <v>&lt;10</v>
      </c>
      <c r="K3" s="143">
        <f>'Monitoring wells'!$AI$30</f>
        <v>2.5999999999999999E-2</v>
      </c>
      <c r="L3" s="140"/>
      <c r="O3" s="147">
        <v>43768</v>
      </c>
      <c r="P3" s="148">
        <f>'Monitoring wells'!$I$28</f>
        <v>0.18</v>
      </c>
      <c r="Q3" s="143" t="str">
        <f>'Monitoring wells'!$V$28</f>
        <v>&lt;10</v>
      </c>
      <c r="R3" s="143">
        <f>'Monitoring wells'!$AI$28</f>
        <v>0.27</v>
      </c>
      <c r="S3" s="140"/>
      <c r="V3" s="147">
        <v>43768</v>
      </c>
      <c r="W3" s="143">
        <f>'Monitoring wells'!$I$26</f>
        <v>550</v>
      </c>
      <c r="X3" s="143">
        <f>'Monitoring wells'!$V$26</f>
        <v>1800</v>
      </c>
      <c r="Y3" s="143">
        <f>'Monitoring wells'!$AI$26</f>
        <v>210</v>
      </c>
      <c r="Z3" s="140"/>
    </row>
    <row r="4" spans="1:27" hidden="1" x14ac:dyDescent="0.35">
      <c r="A4" s="147">
        <v>43864</v>
      </c>
      <c r="B4" s="143">
        <f>'Monitoring wells'!$J$40</f>
        <v>10</v>
      </c>
      <c r="C4" s="143">
        <f>'Monitoring wells'!$W$40</f>
        <v>600</v>
      </c>
      <c r="D4" s="143">
        <f>'Monitoring wells'!$AJ$40</f>
        <v>97</v>
      </c>
      <c r="E4" s="140">
        <f>'Monitoring wells'!$AW$40</f>
        <v>9.6000000000000002E-2</v>
      </c>
      <c r="H4" s="147">
        <v>43864</v>
      </c>
      <c r="I4" s="148">
        <f>'Monitoring wells'!$J$30</f>
        <v>0.18</v>
      </c>
      <c r="J4" s="143">
        <f>'Monitoring wells'!$W$30</f>
        <v>4.4999999999999998E-2</v>
      </c>
      <c r="K4" s="143">
        <f>'Monitoring wells'!$AJ$30</f>
        <v>3.3000000000000002E-2</v>
      </c>
      <c r="L4" s="140">
        <f>'Monitoring wells'!$AW$30</f>
        <v>0</v>
      </c>
      <c r="O4" s="147">
        <v>43864</v>
      </c>
      <c r="P4" s="148">
        <f>'Monitoring wells'!$J$28</f>
        <v>0.15</v>
      </c>
      <c r="Q4" s="143">
        <f>'Monitoring wells'!$W$28</f>
        <v>25</v>
      </c>
      <c r="R4" s="143">
        <f>'Monitoring wells'!$AJ$28</f>
        <v>0.1</v>
      </c>
      <c r="S4" s="140">
        <f>'Monitoring wells'!$AW$28</f>
        <v>0.34</v>
      </c>
      <c r="V4" s="147">
        <v>43864</v>
      </c>
      <c r="W4" s="143">
        <f>'Monitoring wells'!$J$26</f>
        <v>460</v>
      </c>
      <c r="X4" s="143">
        <f>'Monitoring wells'!$W$26</f>
        <v>7500</v>
      </c>
      <c r="Y4" s="143">
        <f>'Monitoring wells'!$AJ$26</f>
        <v>6.6</v>
      </c>
      <c r="Z4" s="140">
        <f>'Monitoring wells'!$AW$26</f>
        <v>0.2</v>
      </c>
    </row>
    <row r="5" spans="1:27" hidden="1" x14ac:dyDescent="0.35">
      <c r="A5" s="147">
        <v>43920</v>
      </c>
      <c r="B5" s="140">
        <f>'Monitoring wells'!$K$40</f>
        <v>1.1000000000000001</v>
      </c>
      <c r="C5" s="143">
        <f>'Monitoring wells'!$X$40</f>
        <v>280</v>
      </c>
      <c r="D5" s="143">
        <f>'Monitoring wells'!$AK$40</f>
        <v>41</v>
      </c>
      <c r="E5" s="140">
        <f>'Monitoring wells'!$AX$40</f>
        <v>0.1</v>
      </c>
      <c r="H5" s="147">
        <v>43920</v>
      </c>
      <c r="I5" s="148">
        <f>'Monitoring wells'!$K$30</f>
        <v>0.12</v>
      </c>
      <c r="J5" s="143" t="str">
        <f>'Monitoring wells'!$X$30</f>
        <v>&lt;10</v>
      </c>
      <c r="K5" s="143">
        <f>'Monitoring wells'!$AK$30</f>
        <v>0.1</v>
      </c>
      <c r="L5" s="140">
        <f>'Monitoring wells'!$AX$30</f>
        <v>0</v>
      </c>
      <c r="O5" s="147">
        <v>43920</v>
      </c>
      <c r="P5" s="148">
        <f>'Monitoring wells'!$K$28</f>
        <v>0.1</v>
      </c>
      <c r="Q5" s="143">
        <f>'Monitoring wells'!$X$28</f>
        <v>13</v>
      </c>
      <c r="R5" s="143">
        <f>'Monitoring wells'!$AK$28</f>
        <v>0.1</v>
      </c>
      <c r="S5" s="140">
        <f>'Monitoring wells'!$AX$28</f>
        <v>0.14000000000000001</v>
      </c>
      <c r="V5" s="147">
        <v>43920</v>
      </c>
      <c r="W5" s="143">
        <f>'Monitoring wells'!$K$26</f>
        <v>270</v>
      </c>
      <c r="X5" s="143">
        <f>'Monitoring wells'!$X$26</f>
        <v>7200</v>
      </c>
      <c r="Y5" s="143">
        <f>'Monitoring wells'!$AK$26</f>
        <v>16</v>
      </c>
      <c r="Z5" s="140">
        <f>'Monitoring wells'!$AX$26</f>
        <v>0.2</v>
      </c>
    </row>
    <row r="6" spans="1:27" hidden="1" x14ac:dyDescent="0.35">
      <c r="A6" s="147">
        <v>43986</v>
      </c>
      <c r="B6" s="148">
        <f>'Monitoring wells'!$L$40</f>
        <v>0.72</v>
      </c>
      <c r="C6" s="143">
        <f>'Monitoring wells'!$Y$40</f>
        <v>240</v>
      </c>
      <c r="D6" s="143">
        <f>'Monitoring wells'!$AL$40</f>
        <v>24</v>
      </c>
      <c r="E6" s="140">
        <f>'Monitoring wells'!$AY$40</f>
        <v>0.44</v>
      </c>
      <c r="H6" s="147">
        <v>43986</v>
      </c>
      <c r="I6" s="148">
        <f>'Monitoring wells'!$L$30</f>
        <v>1.7999999999999999E-2</v>
      </c>
      <c r="J6" s="143">
        <f>'Monitoring wells'!$Y$30</f>
        <v>3.6999999999999998E-2</v>
      </c>
      <c r="K6" s="143">
        <f>'Monitoring wells'!$AL$30</f>
        <v>1.2E-2</v>
      </c>
      <c r="L6" s="140">
        <f>'Monitoring wells'!$AY$30</f>
        <v>0</v>
      </c>
      <c r="O6" s="147">
        <v>43986</v>
      </c>
      <c r="P6" s="148">
        <f>'Monitoring wells'!$L$28</f>
        <v>4.4999999999999998E-2</v>
      </c>
      <c r="Q6" s="143">
        <f>'Monitoring wells'!$Y$28</f>
        <v>9.6</v>
      </c>
      <c r="R6" s="143">
        <f>'Monitoring wells'!$AL$28</f>
        <v>6.5000000000000002E-2</v>
      </c>
      <c r="S6" s="140">
        <f>'Monitoring wells'!$AY$28</f>
        <v>7.9000000000000001E-2</v>
      </c>
      <c r="V6" s="147">
        <v>43986</v>
      </c>
      <c r="W6" s="143">
        <f>'Monitoring wells'!$L$26</f>
        <v>20</v>
      </c>
      <c r="X6" s="143">
        <v>400</v>
      </c>
      <c r="Y6" s="143">
        <f>'Monitoring wells'!$AL$26</f>
        <v>12</v>
      </c>
      <c r="Z6" s="143">
        <f>'Monitoring wells'!$AY$26</f>
        <v>13</v>
      </c>
    </row>
    <row r="7" spans="1:27" x14ac:dyDescent="0.35">
      <c r="A7" s="147">
        <v>43925</v>
      </c>
      <c r="B7" s="140">
        <f>AVERAGE(B4:B6)</f>
        <v>3.94</v>
      </c>
      <c r="C7" s="143">
        <f t="shared" ref="C7:E7" si="0">AVERAGE(C4:C6)</f>
        <v>373.33333333333331</v>
      </c>
      <c r="D7" s="143">
        <f t="shared" si="0"/>
        <v>54</v>
      </c>
      <c r="E7" s="140">
        <f t="shared" si="0"/>
        <v>0.21199999999999999</v>
      </c>
      <c r="H7" s="147">
        <v>43925</v>
      </c>
      <c r="I7" s="140">
        <f>AVERAGE(I4:I6)</f>
        <v>0.106</v>
      </c>
      <c r="J7" s="143">
        <f t="shared" ref="J7" si="1">AVERAGE(J4:J6)</f>
        <v>4.0999999999999995E-2</v>
      </c>
      <c r="K7" s="143">
        <f t="shared" ref="K7" si="2">AVERAGE(K4:K6)</f>
        <v>4.8333333333333339E-2</v>
      </c>
      <c r="L7" s="140">
        <f t="shared" ref="L7" si="3">AVERAGE(L4:L6)</f>
        <v>0</v>
      </c>
      <c r="O7" s="147">
        <v>43925</v>
      </c>
      <c r="P7" s="140">
        <f>AVERAGE(P4:P6)</f>
        <v>9.8333333333333328E-2</v>
      </c>
      <c r="Q7" s="143">
        <f t="shared" ref="Q7" si="4">AVERAGE(Q4:Q6)</f>
        <v>15.866666666666667</v>
      </c>
      <c r="R7" s="143">
        <f t="shared" ref="R7" si="5">AVERAGE(R4:R6)</f>
        <v>8.8333333333333333E-2</v>
      </c>
      <c r="S7" s="140">
        <f t="shared" ref="S7" si="6">AVERAGE(S4:S6)</f>
        <v>0.18633333333333335</v>
      </c>
      <c r="V7" s="147">
        <v>43925</v>
      </c>
      <c r="W7" s="143">
        <f>AVERAGE(W4:W6)</f>
        <v>250</v>
      </c>
      <c r="X7" s="143">
        <f t="shared" ref="X7" si="7">AVERAGE(X4:X6)</f>
        <v>5033.333333333333</v>
      </c>
      <c r="Y7" s="143">
        <f t="shared" ref="Y7" si="8">AVERAGE(Y4:Y6)</f>
        <v>11.533333333333333</v>
      </c>
      <c r="Z7" s="140">
        <f t="shared" ref="Z7" si="9">AVERAGE(Z4:Z6)</f>
        <v>4.4666666666666668</v>
      </c>
    </row>
    <row r="8" spans="1:27" x14ac:dyDescent="0.35">
      <c r="A8" s="147">
        <v>44207</v>
      </c>
      <c r="B8" s="148">
        <f>'Monitoring wells'!$M$40</f>
        <v>0.66</v>
      </c>
      <c r="C8" s="143"/>
      <c r="D8" s="143">
        <f>'Monitoring wells'!$AM$40</f>
        <v>9.6</v>
      </c>
      <c r="E8" s="140" t="str">
        <f>'Monitoring wells'!$AZ$40</f>
        <v>&lt;0.01</v>
      </c>
      <c r="H8" s="147">
        <v>44207</v>
      </c>
      <c r="I8" s="148">
        <f>'Monitoring wells'!$M$30</f>
        <v>5.0999999999999997E-2</v>
      </c>
      <c r="J8" s="143"/>
      <c r="K8" s="143">
        <f>'Monitoring wells'!$AM$30</f>
        <v>1.4999999999999999E-2</v>
      </c>
      <c r="L8" s="140">
        <f>'Monitoring wells'!$AZ$30</f>
        <v>8.5000000000000006E-2</v>
      </c>
      <c r="O8" s="147">
        <v>44207</v>
      </c>
      <c r="P8" s="148">
        <f>'Monitoring wells'!$M$28</f>
        <v>2.8000000000000001E-2</v>
      </c>
      <c r="Q8" s="143"/>
      <c r="R8" s="143">
        <f>'Monitoring wells'!$AM$28</f>
        <v>2.8000000000000001E-2</v>
      </c>
      <c r="S8" s="140">
        <f>'Monitoring wells'!$AZ$28</f>
        <v>2.5999999999999999E-2</v>
      </c>
      <c r="V8" s="147">
        <v>44207</v>
      </c>
      <c r="W8" s="140">
        <f>'Monitoring wells'!$M$26</f>
        <v>4.0999999999999996</v>
      </c>
      <c r="X8" s="143"/>
      <c r="Y8" s="143">
        <f>'Monitoring wells'!$AM$26</f>
        <v>1.8</v>
      </c>
      <c r="Z8" s="140" t="str">
        <f>'Monitoring wells'!$AZ$26</f>
        <v>&lt;0.10</v>
      </c>
    </row>
    <row r="9" spans="1:27" x14ac:dyDescent="0.35">
      <c r="A9" s="147">
        <v>44349</v>
      </c>
      <c r="B9" s="148">
        <f>'Monitoring wells'!$O$40</f>
        <v>0.32</v>
      </c>
      <c r="C9" s="143">
        <f>'Monitoring wells'!$AB$40</f>
        <v>110</v>
      </c>
      <c r="D9" s="143">
        <f>'Monitoring wells'!$AO$40</f>
        <v>15</v>
      </c>
      <c r="E9" s="140" t="str">
        <f>'Monitoring wells'!$BB$40</f>
        <v>&lt;0.010</v>
      </c>
      <c r="H9" s="147">
        <v>44349</v>
      </c>
      <c r="I9" s="148">
        <f>'Monitoring wells'!$O$30</f>
        <v>1.0999999999999999E-2</v>
      </c>
      <c r="J9" s="143">
        <f>'Monitoring wells'!$AB$30</f>
        <v>1</v>
      </c>
      <c r="K9" s="143">
        <f>'Monitoring wells'!$AO$30</f>
        <v>1.7999999999999999E-2</v>
      </c>
      <c r="L9" s="140">
        <f>'Monitoring wells'!$BB$30</f>
        <v>0.12</v>
      </c>
      <c r="O9" s="147">
        <v>44349</v>
      </c>
      <c r="P9" s="148">
        <f>'Monitoring wells'!$O$28</f>
        <v>1.7000000000000001E-2</v>
      </c>
      <c r="Q9" s="143">
        <f>'Monitoring wells'!$AB$28</f>
        <v>3.8</v>
      </c>
      <c r="R9" s="143">
        <f>'Monitoring wells'!$AO$28</f>
        <v>2.5000000000000001E-2</v>
      </c>
      <c r="S9" s="140">
        <f>'Monitoring wells'!$BB$28</f>
        <v>3.1E-2</v>
      </c>
      <c r="V9" s="147">
        <v>44349</v>
      </c>
      <c r="W9" s="140">
        <f>'Monitoring wells'!$O$26</f>
        <v>1.4</v>
      </c>
      <c r="X9" s="143">
        <v>400</v>
      </c>
      <c r="Y9" s="143">
        <f>'Monitoring wells'!$AO$26</f>
        <v>1.1000000000000001</v>
      </c>
      <c r="Z9" s="140" t="str">
        <f>'Monitoring wells'!$BB$26</f>
        <v>&lt;0.10</v>
      </c>
    </row>
    <row r="10" spans="1:27" x14ac:dyDescent="0.35">
      <c r="A10" s="147">
        <v>44698</v>
      </c>
      <c r="B10" s="148">
        <f>'Monitoring wells'!$R$40</f>
        <v>0.15</v>
      </c>
      <c r="C10" s="148">
        <f>'Monitoring wells'!$AE$40</f>
        <v>0.89</v>
      </c>
      <c r="D10" s="148">
        <f>'Monitoring wells'!$AR$40</f>
        <v>0.94</v>
      </c>
      <c r="E10" s="227">
        <f>'Monitoring wells'!$BE$40</f>
        <v>2.3E-2</v>
      </c>
      <c r="H10" s="147">
        <v>44698</v>
      </c>
      <c r="I10" s="148">
        <f>'Monitoring wells'!$R$30</f>
        <v>1.4E-2</v>
      </c>
      <c r="J10" s="148">
        <f>'Monitoring wells'!$AE$30</f>
        <v>0.9</v>
      </c>
      <c r="K10" s="148">
        <f>'Monitoring wells'!$AR$30</f>
        <v>5.1999999999999998E-2</v>
      </c>
      <c r="L10" s="227">
        <f>'Monitoring wells'!$BE$30</f>
        <v>3.3000000000000002E-2</v>
      </c>
      <c r="O10" s="147">
        <v>44698</v>
      </c>
      <c r="P10" s="148">
        <f>'Monitoring wells'!$R$28</f>
        <v>0.01</v>
      </c>
      <c r="Q10" s="148">
        <f>'Monitoring wells'!$AE$28</f>
        <v>0.85</v>
      </c>
      <c r="R10" s="148">
        <f>'Monitoring wells'!$AR$28</f>
        <v>2.1000000000000001E-2</v>
      </c>
      <c r="S10" s="227" t="str">
        <f>'Monitoring wells'!$BE$28</f>
        <v>&lt;0.01</v>
      </c>
      <c r="V10" s="147">
        <v>44698</v>
      </c>
      <c r="W10" s="148" t="str">
        <f>'Monitoring wells'!$R$26</f>
        <v>&lt;0.1</v>
      </c>
      <c r="X10" s="143">
        <f>'Monitoring wells'!$AE$26</f>
        <v>19</v>
      </c>
      <c r="Y10" s="140">
        <f>'Monitoring wells'!$AR$26</f>
        <v>2.5</v>
      </c>
      <c r="Z10" s="140">
        <f>'Monitoring wells'!$BE$26</f>
        <v>3</v>
      </c>
    </row>
    <row r="11" spans="1:27" x14ac:dyDescent="0.35">
      <c r="A11" s="147">
        <v>44860</v>
      </c>
      <c r="B11" s="148">
        <f>'Monitoring wells'!$T$40</f>
        <v>0.26</v>
      </c>
      <c r="C11" s="148">
        <f>'Monitoring wells'!$AG$40</f>
        <v>190</v>
      </c>
      <c r="D11" s="148">
        <f>'Monitoring wells'!$AT$40</f>
        <v>2.1</v>
      </c>
      <c r="E11" s="227">
        <f>'Monitoring wells'!$BG$40</f>
        <v>0.01</v>
      </c>
      <c r="H11" s="147">
        <v>44860</v>
      </c>
      <c r="I11" s="148">
        <f>'Monitoring wells'!$T$30</f>
        <v>0.1</v>
      </c>
      <c r="J11" s="148">
        <f>'Monitoring wells'!$AG$30</f>
        <v>10</v>
      </c>
      <c r="K11" s="148">
        <f>'Monitoring wells'!$AT$30</f>
        <v>2.4E-2</v>
      </c>
      <c r="L11" s="227">
        <f>'Monitoring wells'!$BG$30</f>
        <v>2.8000000000000001E-2</v>
      </c>
      <c r="O11" s="147">
        <v>44860</v>
      </c>
      <c r="P11" s="148">
        <f>'Monitoring wells'!$T$28</f>
        <v>0.1</v>
      </c>
      <c r="Q11" s="148">
        <f>'Monitoring wells'!$AG$28</f>
        <v>10</v>
      </c>
      <c r="R11" s="148">
        <f>'Monitoring wells'!$AT$28</f>
        <v>2.4E-2</v>
      </c>
      <c r="S11" s="227">
        <f>'Monitoring wells'!$BG$28</f>
        <v>0.01</v>
      </c>
      <c r="V11" s="147">
        <v>44860</v>
      </c>
      <c r="W11" s="148">
        <f>'Monitoring wells'!$T$26</f>
        <v>0.23</v>
      </c>
      <c r="X11" s="143">
        <f>'Monitoring wells'!$AG$26</f>
        <v>7300</v>
      </c>
      <c r="Y11" s="148">
        <f>'Monitoring wells'!$AT$26</f>
        <v>0.56000000000000005</v>
      </c>
      <c r="Z11" s="227">
        <f>'Monitoring wells'!$BG$26</f>
        <v>2.4E-2</v>
      </c>
    </row>
    <row r="12" spans="1:27" x14ac:dyDescent="0.35">
      <c r="B12" s="148"/>
      <c r="C12" s="143"/>
      <c r="J12" s="143"/>
      <c r="Q12" s="143"/>
      <c r="X12" s="143"/>
    </row>
    <row r="15" spans="1:27" x14ac:dyDescent="0.35">
      <c r="B15" s="23"/>
      <c r="C15" s="23"/>
      <c r="D15" s="23"/>
      <c r="E15" s="23"/>
    </row>
    <row r="17" spans="1:42" x14ac:dyDescent="0.35">
      <c r="B17" s="23"/>
      <c r="C17" s="23"/>
      <c r="D17" s="23"/>
      <c r="E17" s="23"/>
    </row>
    <row r="19" spans="1:42" x14ac:dyDescent="0.35">
      <c r="B19" s="23"/>
      <c r="C19" s="23"/>
      <c r="D19" s="23"/>
      <c r="E19" s="23"/>
    </row>
    <row r="21" spans="1:42" x14ac:dyDescent="0.35">
      <c r="B21" s="23"/>
      <c r="C21" s="23"/>
      <c r="D21" s="23"/>
      <c r="E21" s="23"/>
    </row>
    <row r="23" spans="1:42" x14ac:dyDescent="0.35">
      <c r="B23" s="23"/>
      <c r="C23" s="23"/>
      <c r="D23" s="23"/>
      <c r="E23" s="23"/>
    </row>
    <row r="25" spans="1:42" x14ac:dyDescent="0.35">
      <c r="B25" s="23"/>
      <c r="C25" s="23"/>
      <c r="D25" s="23"/>
      <c r="E25" s="23"/>
    </row>
    <row r="29" spans="1:42" x14ac:dyDescent="0.35">
      <c r="I29" s="23"/>
      <c r="J29" s="23"/>
      <c r="K29" s="23"/>
      <c r="L29" s="23"/>
    </row>
    <row r="30" spans="1:42" x14ac:dyDescent="0.35">
      <c r="C30" s="129" t="s">
        <v>52</v>
      </c>
      <c r="J30" s="129" t="s">
        <v>370</v>
      </c>
      <c r="Q30" s="5" t="s">
        <v>498</v>
      </c>
      <c r="X30" s="129" t="s">
        <v>209</v>
      </c>
      <c r="AF30" s="5" t="s">
        <v>361</v>
      </c>
    </row>
    <row r="31" spans="1:42" x14ac:dyDescent="0.35">
      <c r="B31" s="146">
        <v>20</v>
      </c>
      <c r="C31" s="146">
        <v>50</v>
      </c>
      <c r="D31" s="146">
        <v>90</v>
      </c>
      <c r="E31" s="146">
        <v>100</v>
      </c>
      <c r="I31" s="146">
        <v>20</v>
      </c>
      <c r="J31" s="146">
        <v>50</v>
      </c>
      <c r="K31" s="146">
        <v>90</v>
      </c>
      <c r="L31" s="146">
        <v>100</v>
      </c>
      <c r="M31" s="130"/>
      <c r="P31" s="146">
        <v>20</v>
      </c>
      <c r="Q31" s="146">
        <v>50</v>
      </c>
      <c r="R31" s="146">
        <v>90</v>
      </c>
      <c r="S31" s="146">
        <v>100</v>
      </c>
      <c r="T31" s="130"/>
      <c r="W31" s="146">
        <v>20</v>
      </c>
      <c r="X31" s="146">
        <v>50</v>
      </c>
      <c r="Y31" s="146">
        <v>90</v>
      </c>
      <c r="Z31" s="146">
        <v>100</v>
      </c>
      <c r="AA31" s="130"/>
      <c r="AE31" s="146">
        <v>20</v>
      </c>
      <c r="AF31" s="146">
        <v>50</v>
      </c>
      <c r="AG31" s="146">
        <v>90</v>
      </c>
      <c r="AH31" s="146">
        <v>100</v>
      </c>
      <c r="AI31" s="130"/>
      <c r="AM31" s="146"/>
      <c r="AN31" s="146"/>
      <c r="AO31" s="146"/>
      <c r="AP31" s="146"/>
    </row>
    <row r="32" spans="1:42" hidden="1" x14ac:dyDescent="0.35">
      <c r="A32" s="147">
        <v>43768</v>
      </c>
      <c r="B32" s="140">
        <f>'Monitoring wells'!$H$54</f>
        <v>5.9</v>
      </c>
      <c r="C32" s="143">
        <f>'Monitoring wells'!$U$54</f>
        <v>10000</v>
      </c>
      <c r="D32" s="143">
        <f>'Monitoring wells'!$AH$54</f>
        <v>1200</v>
      </c>
      <c r="E32" s="143"/>
      <c r="H32" s="147">
        <v>43768</v>
      </c>
      <c r="I32" s="143">
        <f>'Monitoring wells'!$H$57</f>
        <v>70</v>
      </c>
      <c r="J32" s="143">
        <f>'Monitoring wells'!$U$57</f>
        <v>630</v>
      </c>
      <c r="K32" s="143">
        <f>'Monitoring wells'!$AH$57</f>
        <v>37</v>
      </c>
      <c r="L32" s="143"/>
      <c r="O32" s="147">
        <v>43768</v>
      </c>
      <c r="P32" s="143">
        <f>'Monitoring wells'!I46</f>
        <v>320</v>
      </c>
      <c r="Q32" s="143">
        <f>'Monitoring wells'!V46</f>
        <v>9800</v>
      </c>
      <c r="R32" s="143">
        <f>'Monitoring wells'!AI46</f>
        <v>1100</v>
      </c>
      <c r="S32" s="143"/>
      <c r="V32" s="147">
        <v>43768</v>
      </c>
      <c r="W32" s="148">
        <f>'Monitoring wells'!$I$27</f>
        <v>0.13</v>
      </c>
      <c r="X32" s="143" t="str">
        <f>'Monitoring wells'!$V$27</f>
        <v>&lt;10</v>
      </c>
      <c r="Y32" s="143">
        <f>'Monitoring wells'!$AI$27</f>
        <v>0.27</v>
      </c>
      <c r="Z32" s="143"/>
      <c r="AD32" s="147">
        <v>43768</v>
      </c>
      <c r="AE32" s="148"/>
      <c r="AF32" s="143"/>
      <c r="AG32" s="143"/>
      <c r="AH32" s="143"/>
    </row>
    <row r="33" spans="1:42" hidden="1" x14ac:dyDescent="0.35">
      <c r="A33" s="147">
        <v>43864</v>
      </c>
      <c r="B33" s="143">
        <f>'Monitoring wells'!$J$54</f>
        <v>32</v>
      </c>
      <c r="C33" s="143">
        <f>'Monitoring wells'!$W$54</f>
        <v>34000</v>
      </c>
      <c r="D33" s="143">
        <f>'Monitoring wells'!$AJ$54</f>
        <v>33</v>
      </c>
      <c r="E33" s="140" t="str">
        <f>'Monitoring wells'!$AW$54</f>
        <v xml:space="preserve">&lt; 0,2	</v>
      </c>
      <c r="H33" s="147">
        <v>43864</v>
      </c>
      <c r="I33" s="143">
        <f>'Monitoring wells'!$J$57</f>
        <v>36</v>
      </c>
      <c r="J33" s="143">
        <f>'Monitoring wells'!$W$57</f>
        <v>5000</v>
      </c>
      <c r="K33" s="143">
        <f>'Monitoring wells'!$AJ$57</f>
        <v>1.9</v>
      </c>
      <c r="L33" s="140">
        <f>'Monitoring wells'!$AW$57</f>
        <v>0</v>
      </c>
      <c r="O33" s="147">
        <v>43864</v>
      </c>
      <c r="P33" s="143">
        <f>'Monitoring wells'!$J$46</f>
        <v>290</v>
      </c>
      <c r="Q33" s="143">
        <f>'Monitoring wells'!$W$46</f>
        <v>41000</v>
      </c>
      <c r="R33" s="143">
        <f>'Monitoring wells'!$AJ$46</f>
        <v>53</v>
      </c>
      <c r="S33" s="140" t="str">
        <f>'Monitoring wells'!$AW$46</f>
        <v xml:space="preserve">&lt; 10	</v>
      </c>
      <c r="V33" s="147">
        <v>43864</v>
      </c>
      <c r="W33" s="148">
        <f>'Monitoring wells'!$J$27</f>
        <v>0.33</v>
      </c>
      <c r="X33" s="143">
        <f>'Monitoring wells'!$W$27</f>
        <v>10</v>
      </c>
      <c r="Y33" s="143">
        <f>'Monitoring wells'!$AJ$27</f>
        <v>0.6</v>
      </c>
      <c r="Z33" s="140">
        <f>'Monitoring wells'!$AW$27</f>
        <v>0.17</v>
      </c>
      <c r="AD33" s="147">
        <v>43864</v>
      </c>
      <c r="AE33" s="148"/>
      <c r="AF33" s="143"/>
      <c r="AG33" s="143"/>
      <c r="AH33" s="140"/>
    </row>
    <row r="34" spans="1:42" hidden="1" x14ac:dyDescent="0.35">
      <c r="A34" s="147">
        <v>43920</v>
      </c>
      <c r="B34" s="143">
        <f>'Monitoring wells'!$K$54</f>
        <v>15</v>
      </c>
      <c r="C34" s="143">
        <f>'Monitoring wells'!$X$54</f>
        <v>38000</v>
      </c>
      <c r="D34" s="143">
        <f>'Monitoring wells'!$AK$54</f>
        <v>100</v>
      </c>
      <c r="E34" s="140" t="str">
        <f>'Monitoring wells'!$AX$54</f>
        <v xml:space="preserve">&lt; 0,2	</v>
      </c>
      <c r="H34" s="147">
        <v>43920</v>
      </c>
      <c r="I34" s="140">
        <f>'Monitoring wells'!$K$57</f>
        <v>9.9</v>
      </c>
      <c r="J34" s="143">
        <f>'Monitoring wells'!$X$57</f>
        <v>4600</v>
      </c>
      <c r="K34" s="143">
        <f>'Monitoring wells'!$AK$57</f>
        <v>3.9</v>
      </c>
      <c r="L34" s="140">
        <f>'Monitoring wells'!$AX$57</f>
        <v>0</v>
      </c>
      <c r="O34" s="147">
        <v>43920</v>
      </c>
      <c r="P34" s="143">
        <f>'Monitoring wells'!$K$46</f>
        <v>99</v>
      </c>
      <c r="Q34" s="143">
        <f>'Monitoring wells'!$X$46</f>
        <v>60000</v>
      </c>
      <c r="R34" s="143">
        <f>'Monitoring wells'!$AK$46</f>
        <v>130</v>
      </c>
      <c r="S34" s="140" t="str">
        <f>'Monitoring wells'!$AX$46</f>
        <v xml:space="preserve">&lt; 10	</v>
      </c>
      <c r="V34" s="147">
        <v>43920</v>
      </c>
      <c r="W34" s="148">
        <f>'Monitoring wells'!$K$27</f>
        <v>0.19</v>
      </c>
      <c r="X34" s="143">
        <f>'Monitoring wells'!$X$27</f>
        <v>10</v>
      </c>
      <c r="Y34" s="143">
        <f>'Monitoring wells'!$AK$27</f>
        <v>0.38</v>
      </c>
      <c r="Z34" s="140">
        <f>'Monitoring wells'!$AX$27</f>
        <v>0.14000000000000001</v>
      </c>
      <c r="AD34" s="147">
        <v>43920</v>
      </c>
      <c r="AE34" s="148"/>
      <c r="AF34" s="143"/>
      <c r="AG34" s="143"/>
      <c r="AH34" s="140"/>
    </row>
    <row r="35" spans="1:42" hidden="1" x14ac:dyDescent="0.35">
      <c r="A35" s="147">
        <v>43986</v>
      </c>
      <c r="B35" s="140">
        <f>'Monitoring wells'!$L$54</f>
        <v>1.6</v>
      </c>
      <c r="C35" s="143">
        <f>'Monitoring wells'!$Y$54</f>
        <v>30000</v>
      </c>
      <c r="D35" s="143">
        <f>'Monitoring wells'!$AL$54</f>
        <v>120</v>
      </c>
      <c r="E35" s="140">
        <f>'Monitoring wells'!$AY$54</f>
        <v>51</v>
      </c>
      <c r="H35" s="147">
        <v>43986</v>
      </c>
      <c r="I35" s="140">
        <f>'Monitoring wells'!$L$57</f>
        <v>2.2000000000000002</v>
      </c>
      <c r="J35" s="143">
        <f>'Monitoring wells'!$Y$57</f>
        <v>3100</v>
      </c>
      <c r="K35" s="143">
        <f>'Monitoring wells'!$AL$57</f>
        <v>11</v>
      </c>
      <c r="L35" s="140">
        <f>'Monitoring wells'!$AY$57</f>
        <v>7.6</v>
      </c>
      <c r="O35" s="147">
        <v>43986</v>
      </c>
      <c r="P35" s="148" t="str">
        <f>'Monitoring wells'!$L$46</f>
        <v>&lt;80</v>
      </c>
      <c r="Q35" s="143">
        <f>'Monitoring wells'!$Y$46</f>
        <v>42000</v>
      </c>
      <c r="R35" s="143">
        <f>'Monitoring wells'!$AL$46</f>
        <v>190</v>
      </c>
      <c r="S35" s="140" t="str">
        <f>'Monitoring wells'!$AY$46</f>
        <v>&lt;80</v>
      </c>
      <c r="V35" s="147">
        <v>43986</v>
      </c>
      <c r="W35" s="148">
        <f>'Monitoring wells'!$L$27</f>
        <v>2.5999999999999999E-2</v>
      </c>
      <c r="X35" s="143">
        <f>'Monitoring wells'!$Y$27</f>
        <v>0.15</v>
      </c>
      <c r="Y35" s="143">
        <f>'Monitoring wells'!$AL$27</f>
        <v>0.28999999999999998</v>
      </c>
      <c r="Z35" s="140">
        <f>'Monitoring wells'!$AY$27</f>
        <v>7.0999999999999994E-2</v>
      </c>
      <c r="AD35" s="147">
        <v>43986</v>
      </c>
      <c r="AE35" s="148"/>
      <c r="AF35" s="143"/>
      <c r="AG35" s="143"/>
      <c r="AH35" s="140"/>
    </row>
    <row r="36" spans="1:42" x14ac:dyDescent="0.35">
      <c r="A36" s="147">
        <v>43925</v>
      </c>
      <c r="B36" s="143">
        <f>AVERAGE(B33:B35)</f>
        <v>16.2</v>
      </c>
      <c r="C36" s="143">
        <f t="shared" ref="C36" si="10">AVERAGE(C33:C35)</f>
        <v>34000</v>
      </c>
      <c r="D36" s="143">
        <f t="shared" ref="D36" si="11">AVERAGE(D33:D35)</f>
        <v>84.333333333333329</v>
      </c>
      <c r="E36" s="143">
        <f>E35/3</f>
        <v>17</v>
      </c>
      <c r="H36" s="147">
        <v>43925</v>
      </c>
      <c r="I36" s="143">
        <f>AVERAGE(I33:I35)</f>
        <v>16.033333333333335</v>
      </c>
      <c r="J36" s="143">
        <f t="shared" ref="J36" si="12">AVERAGE(J33:J35)</f>
        <v>4233.333333333333</v>
      </c>
      <c r="K36" s="143">
        <f t="shared" ref="K36" si="13">AVERAGE(K33:K35)</f>
        <v>5.6000000000000005</v>
      </c>
      <c r="L36" s="140">
        <f t="shared" ref="L36" si="14">AVERAGE(L33:L35)</f>
        <v>2.5333333333333332</v>
      </c>
      <c r="O36" s="147">
        <v>43925</v>
      </c>
      <c r="P36" s="143">
        <f>AVERAGE(80,P34,P35)</f>
        <v>89.5</v>
      </c>
      <c r="Q36" s="143">
        <f t="shared" ref="Q36" si="15">AVERAGE(Q33:Q35)</f>
        <v>47666.666666666664</v>
      </c>
      <c r="R36" s="143">
        <f t="shared" ref="R36" si="16">AVERAGE(R33:R35)</f>
        <v>124.33333333333333</v>
      </c>
      <c r="S36" s="140" t="s">
        <v>127</v>
      </c>
      <c r="V36" s="147">
        <v>43925</v>
      </c>
      <c r="W36" s="140">
        <f>AVERAGE(W33:W35)</f>
        <v>0.18200000000000002</v>
      </c>
      <c r="X36" s="140">
        <f t="shared" ref="X36" si="17">AVERAGE(X33:X35)</f>
        <v>6.7166666666666659</v>
      </c>
      <c r="Y36" s="143">
        <f t="shared" ref="Y36" si="18">AVERAGE(Y33:Y35)</f>
        <v>0.42333333333333334</v>
      </c>
      <c r="Z36" s="140">
        <f t="shared" ref="Z36" si="19">AVERAGE(Z33:Z35)</f>
        <v>0.12700000000000003</v>
      </c>
      <c r="AD36" s="147">
        <v>43925</v>
      </c>
      <c r="AE36" s="148"/>
      <c r="AF36" s="143"/>
      <c r="AG36" s="143"/>
      <c r="AH36" s="140"/>
      <c r="AL36" s="147"/>
      <c r="AM36" s="148"/>
      <c r="AN36" s="143"/>
      <c r="AO36" s="143"/>
      <c r="AP36" s="140"/>
    </row>
    <row r="37" spans="1:42" x14ac:dyDescent="0.35">
      <c r="A37" s="147">
        <v>44207</v>
      </c>
      <c r="B37" s="140">
        <f>'Monitoring wells'!$M$54</f>
        <v>1.1000000000000001</v>
      </c>
      <c r="C37" s="143">
        <f>'Monitoring wells'!$Z$54</f>
        <v>24000</v>
      </c>
      <c r="D37" s="143">
        <f>'Monitoring wells'!$AM$54</f>
        <v>18</v>
      </c>
      <c r="E37" s="140" t="str">
        <f>'Monitoring wells'!$AZ$54</f>
        <v>&lt;0.20</v>
      </c>
      <c r="H37" s="147">
        <v>44207</v>
      </c>
      <c r="I37" s="140">
        <f>'Monitoring wells'!$M$57</f>
        <v>3</v>
      </c>
      <c r="J37" s="143">
        <f>'Monitoring wells'!$Z$57</f>
        <v>2300</v>
      </c>
      <c r="K37" s="143">
        <f>'Monitoring wells'!$AM$57</f>
        <v>0.63</v>
      </c>
      <c r="L37" s="140" t="str">
        <f>'Monitoring wells'!$AZ$57</f>
        <v>&lt;0.40</v>
      </c>
      <c r="O37" s="147">
        <v>44207</v>
      </c>
      <c r="P37" s="148" t="str">
        <f>'Monitoring wells'!$M$46</f>
        <v>&lt;80</v>
      </c>
      <c r="Q37" s="143">
        <f>'Monitoring wells'!$Z$46</f>
        <v>30000</v>
      </c>
      <c r="R37" s="143"/>
      <c r="S37" s="140" t="str">
        <f>'Monitoring wells'!$AZ$46</f>
        <v>&lt;80</v>
      </c>
      <c r="V37" s="147">
        <v>44207</v>
      </c>
      <c r="W37" s="148">
        <f>'Monitoring wells'!$M$27</f>
        <v>4.7E-2</v>
      </c>
      <c r="X37" s="143"/>
      <c r="Y37" s="143">
        <f>'Monitoring wells'!$AM$27</f>
        <v>9.9000000000000005E-2</v>
      </c>
      <c r="Z37" s="140">
        <f>'Monitoring wells'!$AZ$27</f>
        <v>2.3E-2</v>
      </c>
      <c r="AD37" s="147">
        <v>44207</v>
      </c>
      <c r="AE37" s="148" t="str">
        <f>'Monitoring wells'!$M$62</f>
        <v>&lt;1</v>
      </c>
      <c r="AF37" s="148">
        <f>'Monitoring wells'!$Z$62</f>
        <v>1200</v>
      </c>
      <c r="AG37" s="143">
        <f>'Monitoring wells'!$AM$62</f>
        <v>9.3000000000000007</v>
      </c>
      <c r="AH37" s="140" t="str">
        <f>'Monitoring wells'!$AZ$62</f>
        <v>&lt;1</v>
      </c>
      <c r="AL37" s="147"/>
      <c r="AM37" s="148"/>
      <c r="AN37" s="148"/>
      <c r="AO37" s="143"/>
      <c r="AP37" s="140"/>
    </row>
    <row r="38" spans="1:42" x14ac:dyDescent="0.35">
      <c r="A38" s="147">
        <v>44349</v>
      </c>
      <c r="B38" s="148">
        <f>'Monitoring wells'!$O$54</f>
        <v>0.64</v>
      </c>
      <c r="C38" s="143">
        <f>'Monitoring wells'!$AB$54</f>
        <v>18000</v>
      </c>
      <c r="D38" s="143">
        <f>'Monitoring wells'!$AO$54</f>
        <v>11</v>
      </c>
      <c r="E38" s="140" t="str">
        <f>'Monitoring wells'!$BB$54</f>
        <v>&lt;0.02</v>
      </c>
      <c r="H38" s="147">
        <v>44349</v>
      </c>
      <c r="I38" s="148" t="str">
        <f>'Monitoring wells'!$O$57</f>
        <v>&lt;0.40</v>
      </c>
      <c r="J38" s="143">
        <f>'Monitoring wells'!$AB$57</f>
        <v>2300</v>
      </c>
      <c r="K38" s="143" t="str">
        <f>'Monitoring wells'!$AO$57</f>
        <v>&lt;0.40</v>
      </c>
      <c r="L38" s="140" t="str">
        <f>'Monitoring wells'!$BB$57</f>
        <v>&lt;0.40</v>
      </c>
      <c r="O38" s="147">
        <v>44349</v>
      </c>
      <c r="P38" s="148" t="str">
        <f>'Monitoring wells'!$O$46</f>
        <v>&lt;80</v>
      </c>
      <c r="Q38" s="143">
        <f>'Monitoring wells'!$AB$46</f>
        <v>25000</v>
      </c>
      <c r="R38" s="143" t="str">
        <f>'Monitoring wells'!$AO$46</f>
        <v>&lt;80</v>
      </c>
      <c r="S38" s="140" t="str">
        <f>'Monitoring wells'!$BB$46</f>
        <v>&lt;80</v>
      </c>
      <c r="V38" s="147">
        <v>44349</v>
      </c>
      <c r="W38" s="148">
        <f>'Monitoring wells'!$O$27</f>
        <v>2.4E-2</v>
      </c>
      <c r="X38" s="143">
        <f>'Monitoring wells'!$AB$27</f>
        <v>0.38</v>
      </c>
      <c r="Y38" s="143">
        <f>'Monitoring wells'!$AO$27</f>
        <v>8.7999999999999995E-2</v>
      </c>
      <c r="Z38" s="140">
        <f>'Monitoring wells'!$BB$27</f>
        <v>3.2000000000000001E-2</v>
      </c>
      <c r="AD38" s="147">
        <v>44349</v>
      </c>
      <c r="AE38" s="148" t="str">
        <f>'Monitoring wells'!$O$62</f>
        <v>&lt;1</v>
      </c>
      <c r="AF38" s="143">
        <f>'Monitoring wells'!$AB$62</f>
        <v>2400</v>
      </c>
      <c r="AG38" s="143">
        <f>'Monitoring wells'!$AO$62</f>
        <v>5</v>
      </c>
      <c r="AH38" s="140">
        <f>'Monitoring wells'!$BB$62</f>
        <v>5.9</v>
      </c>
      <c r="AL38" s="147"/>
      <c r="AM38" s="148"/>
      <c r="AN38" s="143"/>
      <c r="AO38" s="143"/>
      <c r="AP38" s="140"/>
    </row>
    <row r="39" spans="1:42" x14ac:dyDescent="0.35">
      <c r="A39" s="147">
        <v>44698</v>
      </c>
      <c r="B39" s="140">
        <f>'Monitoring wells'!$R$54</f>
        <v>2.2000000000000002</v>
      </c>
      <c r="C39" s="143">
        <f>'Monitoring wells'!$AE$54</f>
        <v>7400</v>
      </c>
      <c r="D39" s="143">
        <f>'Monitoring wells'!$AR$54</f>
        <v>39</v>
      </c>
      <c r="E39" s="143">
        <f>'Monitoring wells'!$BE$54</f>
        <v>33</v>
      </c>
      <c r="H39" s="147">
        <v>44698</v>
      </c>
      <c r="I39" s="148" t="str">
        <f>'Monitoring wells'!$R$57</f>
        <v>&lt;0.4</v>
      </c>
      <c r="J39" s="143">
        <f>'Monitoring wells'!$AE$57</f>
        <v>350</v>
      </c>
      <c r="K39" s="140">
        <f>'Monitoring wells'!$AR$57</f>
        <v>1</v>
      </c>
      <c r="L39" s="140">
        <f>'Monitoring wells'!$BE$57</f>
        <v>1.1000000000000001</v>
      </c>
      <c r="O39" s="147">
        <v>44698</v>
      </c>
      <c r="P39" s="148" t="str">
        <f>'Monitoring wells'!$R$46</f>
        <v>&lt;80</v>
      </c>
      <c r="Q39" s="143">
        <f>'Monitoring wells'!$AE$46</f>
        <v>8900</v>
      </c>
      <c r="R39" s="148" t="str">
        <f>'Monitoring wells'!$AR$46</f>
        <v>&lt;80</v>
      </c>
      <c r="S39" s="227" t="str">
        <f>'Monitoring wells'!$BE$46</f>
        <v>&lt;80</v>
      </c>
      <c r="V39" s="147">
        <v>44698</v>
      </c>
      <c r="W39" s="148">
        <f>'Monitoring wells'!$R$27</f>
        <v>1.6E-2</v>
      </c>
      <c r="X39" s="148">
        <f>'Monitoring wells'!$AE$27</f>
        <v>0.13</v>
      </c>
      <c r="Y39" s="148">
        <f>'Monitoring wells'!$AR$27</f>
        <v>7.8E-2</v>
      </c>
      <c r="Z39" s="227">
        <f>'Monitoring wells'!$BE$27</f>
        <v>1.2E-2</v>
      </c>
      <c r="AD39" s="147">
        <v>44698</v>
      </c>
      <c r="AE39" s="148">
        <f>'Monitoring wells'!$R$62</f>
        <v>4</v>
      </c>
      <c r="AF39" s="148">
        <f>'Monitoring wells'!$AE$62</f>
        <v>820</v>
      </c>
      <c r="AG39" s="148">
        <f>'Monitoring wells'!$AR$62</f>
        <v>3.1</v>
      </c>
      <c r="AH39" s="148">
        <f>'Monitoring wells'!$BE$62</f>
        <v>3.4</v>
      </c>
      <c r="AL39" s="147"/>
      <c r="AM39" s="148"/>
      <c r="AN39" s="148"/>
      <c r="AO39" s="148"/>
      <c r="AP39" s="227"/>
    </row>
    <row r="40" spans="1:42" x14ac:dyDescent="0.35">
      <c r="A40" s="147">
        <v>44860</v>
      </c>
      <c r="B40" s="140">
        <f>'Monitoring wells'!$T$54</f>
        <v>3.7</v>
      </c>
      <c r="C40" s="143">
        <f>'Monitoring wells'!$AG$54</f>
        <v>22000</v>
      </c>
      <c r="D40" s="143">
        <f>'Monitoring wells'!$AT$54</f>
        <v>5.6</v>
      </c>
      <c r="E40" s="143">
        <f>'Monitoring wells'!$BG$54</f>
        <v>0.2</v>
      </c>
      <c r="H40" s="147">
        <v>44860</v>
      </c>
      <c r="I40" s="148">
        <f>'Monitoring wells'!$T$57</f>
        <v>0.65</v>
      </c>
      <c r="J40" s="143">
        <f>'Monitoring wells'!$AG$57</f>
        <v>2200</v>
      </c>
      <c r="K40" s="148">
        <f>'Monitoring wells'!$AT$57</f>
        <v>0.4</v>
      </c>
      <c r="L40" s="227">
        <f>'Monitoring wells'!$BG$57</f>
        <v>0.4</v>
      </c>
      <c r="O40" s="147">
        <v>44860</v>
      </c>
      <c r="P40" s="148" t="str">
        <f>'Monitoring wells'!$T$46</f>
        <v>&lt;80</v>
      </c>
      <c r="Q40" s="143">
        <f>'Monitoring wells'!$AG$46</f>
        <v>32000</v>
      </c>
      <c r="R40" s="148" t="str">
        <f>'Monitoring wells'!$AT$46</f>
        <v>&lt;80</v>
      </c>
      <c r="S40" s="227" t="str">
        <f>'Monitoring wells'!$BG$46</f>
        <v>&lt;80</v>
      </c>
      <c r="V40" s="147">
        <v>44860</v>
      </c>
      <c r="W40" s="148">
        <f>'Monitoring wells'!$T$27</f>
        <v>0.1</v>
      </c>
      <c r="X40" s="148">
        <f>'Monitoring wells'!$AG$27</f>
        <v>10</v>
      </c>
      <c r="Y40" s="148">
        <f>'Monitoring wells'!$AT$27</f>
        <v>0.11</v>
      </c>
      <c r="Z40" s="227">
        <f>'Monitoring wells'!$BG$27</f>
        <v>1.7000000000000001E-2</v>
      </c>
      <c r="AD40" s="147">
        <v>44860</v>
      </c>
      <c r="AE40" s="148" t="str">
        <f>'Monitoring wells'!$T$62</f>
        <v>&lt;1.0</v>
      </c>
      <c r="AF40" s="148">
        <f>'Monitoring wells'!$AG$62</f>
        <v>3300</v>
      </c>
      <c r="AG40" s="148">
        <f>'Monitoring wells'!$AT$62</f>
        <v>4.2</v>
      </c>
      <c r="AH40" s="227" t="str">
        <f>'Monitoring wells'!$BG$62</f>
        <v>&lt;1.0</v>
      </c>
      <c r="AL40" s="147"/>
      <c r="AM40" s="148"/>
      <c r="AN40" s="148"/>
      <c r="AO40" s="148"/>
      <c r="AP40" s="227"/>
    </row>
    <row r="41" spans="1:42" x14ac:dyDescent="0.35">
      <c r="C41" s="143"/>
      <c r="I41" s="23"/>
      <c r="J41" s="143"/>
      <c r="K41" s="23"/>
      <c r="L41" s="23"/>
      <c r="Q41" s="143"/>
      <c r="X41" s="143"/>
    </row>
    <row r="42" spans="1:42" x14ac:dyDescent="0.35">
      <c r="I42" s="23"/>
      <c r="J42" s="23"/>
      <c r="K42" s="23"/>
      <c r="L42" s="23"/>
    </row>
    <row r="44" spans="1:42" x14ac:dyDescent="0.35">
      <c r="I44" s="23"/>
      <c r="J44" s="23"/>
      <c r="K44" s="23"/>
      <c r="L44" s="23"/>
    </row>
  </sheetData>
  <conditionalFormatting sqref="B15 D15 D17:E17 D19:E19 D21:E21 D23:E23 D25:E25">
    <cfRule type="cellIs" dxfId="594" priority="20" operator="greaterThan">
      <formula>$C$26</formula>
    </cfRule>
  </conditionalFormatting>
  <conditionalFormatting sqref="C15">
    <cfRule type="cellIs" dxfId="593" priority="19" operator="greaterThan">
      <formula>$C$26</formula>
    </cfRule>
  </conditionalFormatting>
  <conditionalFormatting sqref="E15">
    <cfRule type="cellIs" dxfId="592" priority="18" operator="greaterThan">
      <formula>$C$26</formula>
    </cfRule>
  </conditionalFormatting>
  <conditionalFormatting sqref="B17">
    <cfRule type="cellIs" dxfId="591" priority="17" operator="greaterThan">
      <formula>$C$26</formula>
    </cfRule>
  </conditionalFormatting>
  <conditionalFormatting sqref="C17">
    <cfRule type="cellIs" dxfId="590" priority="16" operator="greaterThan">
      <formula>$C$26</formula>
    </cfRule>
  </conditionalFormatting>
  <conditionalFormatting sqref="B19">
    <cfRule type="cellIs" dxfId="589" priority="15" operator="greaterThan">
      <formula>$C$26</formula>
    </cfRule>
  </conditionalFormatting>
  <conditionalFormatting sqref="C19">
    <cfRule type="cellIs" dxfId="588" priority="14" operator="greaterThan">
      <formula>$C$26</formula>
    </cfRule>
  </conditionalFormatting>
  <conditionalFormatting sqref="B21">
    <cfRule type="cellIs" dxfId="587" priority="13" operator="greaterThan">
      <formula>$C$26</formula>
    </cfRule>
  </conditionalFormatting>
  <conditionalFormatting sqref="C21">
    <cfRule type="cellIs" dxfId="586" priority="12" operator="greaterThan">
      <formula>$C$26</formula>
    </cfRule>
  </conditionalFormatting>
  <conditionalFormatting sqref="B23">
    <cfRule type="cellIs" dxfId="585" priority="11" operator="greaterThan">
      <formula>$C$26</formula>
    </cfRule>
  </conditionalFormatting>
  <conditionalFormatting sqref="C23">
    <cfRule type="cellIs" dxfId="584" priority="10" operator="greaterThan">
      <formula>$C$26</formula>
    </cfRule>
  </conditionalFormatting>
  <conditionalFormatting sqref="B25">
    <cfRule type="cellIs" dxfId="583" priority="9" operator="greaterThan">
      <formula>$C$26</formula>
    </cfRule>
  </conditionalFormatting>
  <conditionalFormatting sqref="C25">
    <cfRule type="cellIs" dxfId="582" priority="8" operator="greaterThan">
      <formula>$C$26</formula>
    </cfRule>
  </conditionalFormatting>
  <conditionalFormatting sqref="I29 K29 K41:L42 K44:L44">
    <cfRule type="cellIs" dxfId="581" priority="7" operator="greaterThan">
      <formula>$C$16</formula>
    </cfRule>
  </conditionalFormatting>
  <conditionalFormatting sqref="J29">
    <cfRule type="cellIs" dxfId="580" priority="6" operator="greaterThan">
      <formula>$C$16</formula>
    </cfRule>
  </conditionalFormatting>
  <conditionalFormatting sqref="L29">
    <cfRule type="cellIs" dxfId="579" priority="5" operator="greaterThan">
      <formula>$C$16</formula>
    </cfRule>
  </conditionalFormatting>
  <conditionalFormatting sqref="I41:I42">
    <cfRule type="cellIs" dxfId="578" priority="4" operator="greaterThan">
      <formula>$C$16</formula>
    </cfRule>
  </conditionalFormatting>
  <conditionalFormatting sqref="J42">
    <cfRule type="cellIs" dxfId="577" priority="3" operator="greaterThan">
      <formula>$C$16</formula>
    </cfRule>
  </conditionalFormatting>
  <conditionalFormatting sqref="I44">
    <cfRule type="cellIs" dxfId="576" priority="2" operator="greaterThan">
      <formula>$C$16</formula>
    </cfRule>
  </conditionalFormatting>
  <conditionalFormatting sqref="J44">
    <cfRule type="cellIs" dxfId="575" priority="1" operator="greaterThan">
      <formula>$C$16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Width="2" orientation="landscape" r:id="rId1"/>
  <colBreaks count="1" manualBreakCount="1">
    <brk id="21" max="54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52EE0-5F5D-433D-B3D1-CE4E6A89B4A7}">
  <sheetPr>
    <pageSetUpPr fitToPage="1"/>
  </sheetPr>
  <dimension ref="A1:AI65"/>
  <sheetViews>
    <sheetView showZeros="0" topLeftCell="B1" zoomScale="85" zoomScaleNormal="85" workbookViewId="0">
      <selection activeCell="AM60" sqref="AM60"/>
    </sheetView>
  </sheetViews>
  <sheetFormatPr defaultColWidth="9.08984375" defaultRowHeight="14.5" x14ac:dyDescent="0.35"/>
  <cols>
    <col min="1" max="1" width="34.90625" style="46" hidden="1" customWidth="1"/>
    <col min="2" max="2" width="34.54296875" style="46" bestFit="1" customWidth="1"/>
    <col min="3" max="3" width="10.54296875" style="46" hidden="1" customWidth="1"/>
    <col min="4" max="4" width="11.453125" style="49" customWidth="1"/>
    <col min="5" max="5" width="11.453125" style="48" customWidth="1"/>
    <col min="6" max="7" width="10.54296875" style="46" hidden="1" customWidth="1"/>
    <col min="8" max="8" width="11.453125" style="49" customWidth="1"/>
    <col min="9" max="9" width="11.453125" style="48" customWidth="1"/>
    <col min="10" max="11" width="10.54296875" style="46" hidden="1" customWidth="1"/>
    <col min="12" max="12" width="11.453125" style="49" customWidth="1"/>
    <col min="13" max="13" width="11.453125" style="48" customWidth="1"/>
    <col min="14" max="15" width="10.54296875" style="46" hidden="1" customWidth="1"/>
    <col min="16" max="16" width="11.453125" style="49" customWidth="1"/>
    <col min="17" max="17" width="11.453125" style="48" customWidth="1"/>
    <col min="18" max="19" width="10.54296875" style="46" hidden="1" customWidth="1"/>
    <col min="20" max="20" width="11.453125" style="49" customWidth="1"/>
    <col min="21" max="21" width="11.453125" style="48" customWidth="1"/>
    <col min="22" max="22" width="10.54296875" style="46" hidden="1" customWidth="1"/>
    <col min="23" max="23" width="11.453125" style="83" customWidth="1"/>
    <col min="24" max="24" width="11.453125" style="1" customWidth="1"/>
    <col min="25" max="26" width="10.54296875" hidden="1" customWidth="1"/>
    <col min="27" max="27" width="11.453125" style="83" customWidth="1"/>
    <col min="28" max="28" width="11.453125" style="1" customWidth="1"/>
    <col min="29" max="30" width="10.54296875" hidden="1" customWidth="1"/>
    <col min="31" max="31" width="11.453125" style="83" customWidth="1"/>
    <col min="32" max="32" width="11.453125" style="1" customWidth="1"/>
    <col min="33" max="35" width="9.54296875" style="47" customWidth="1"/>
    <col min="36" max="16384" width="9.08984375" style="46"/>
  </cols>
  <sheetData>
    <row r="1" spans="1:35" ht="18.75" customHeight="1" x14ac:dyDescent="0.35">
      <c r="A1" s="345"/>
      <c r="B1" s="76" t="s">
        <v>292</v>
      </c>
      <c r="C1" s="347" t="s">
        <v>291</v>
      </c>
      <c r="D1" s="336"/>
      <c r="E1" s="336"/>
      <c r="F1" s="336"/>
      <c r="G1" s="336" t="s">
        <v>291</v>
      </c>
      <c r="H1" s="336"/>
      <c r="I1" s="336"/>
      <c r="J1" s="336"/>
      <c r="K1" s="336" t="s">
        <v>291</v>
      </c>
      <c r="L1" s="336"/>
      <c r="M1" s="336"/>
      <c r="N1" s="336"/>
      <c r="O1" s="336" t="s">
        <v>291</v>
      </c>
      <c r="P1" s="336"/>
      <c r="Q1" s="336"/>
      <c r="R1" s="336"/>
      <c r="S1" s="336" t="s">
        <v>291</v>
      </c>
      <c r="T1" s="336"/>
      <c r="U1" s="336"/>
      <c r="V1" s="336"/>
      <c r="W1" s="340" t="s">
        <v>291</v>
      </c>
      <c r="X1" s="310"/>
      <c r="Y1" s="77"/>
      <c r="Z1" s="310" t="s">
        <v>291</v>
      </c>
      <c r="AA1" s="310"/>
      <c r="AB1" s="310"/>
      <c r="AC1" s="310"/>
      <c r="AD1" s="310" t="s">
        <v>291</v>
      </c>
      <c r="AE1" s="310"/>
      <c r="AF1" s="310"/>
      <c r="AG1" s="330" t="s">
        <v>290</v>
      </c>
      <c r="AH1" s="331"/>
      <c r="AI1" s="332"/>
    </row>
    <row r="2" spans="1:35" x14ac:dyDescent="0.35">
      <c r="A2" s="346"/>
      <c r="B2" s="73" t="s">
        <v>289</v>
      </c>
      <c r="C2" s="342" t="s">
        <v>288</v>
      </c>
      <c r="D2" s="294"/>
      <c r="E2" s="294"/>
      <c r="F2" s="294"/>
      <c r="G2" s="294" t="s">
        <v>288</v>
      </c>
      <c r="H2" s="294"/>
      <c r="I2" s="294"/>
      <c r="J2" s="294"/>
      <c r="K2" s="294" t="s">
        <v>288</v>
      </c>
      <c r="L2" s="294"/>
      <c r="M2" s="294"/>
      <c r="N2" s="294"/>
      <c r="O2" s="294" t="s">
        <v>288</v>
      </c>
      <c r="P2" s="294"/>
      <c r="Q2" s="294"/>
      <c r="R2" s="294"/>
      <c r="S2" s="294" t="s">
        <v>288</v>
      </c>
      <c r="T2" s="294"/>
      <c r="U2" s="294"/>
      <c r="V2" s="294"/>
      <c r="W2" s="325" t="s">
        <v>288</v>
      </c>
      <c r="X2" s="299"/>
      <c r="Y2" s="78"/>
      <c r="Z2" s="311" t="s">
        <v>288</v>
      </c>
      <c r="AA2" s="311"/>
      <c r="AB2" s="311"/>
      <c r="AC2" s="311"/>
      <c r="AD2" s="311" t="s">
        <v>288</v>
      </c>
      <c r="AE2" s="311"/>
      <c r="AF2" s="311"/>
      <c r="AG2" s="333"/>
      <c r="AH2" s="334"/>
      <c r="AI2" s="335"/>
    </row>
    <row r="3" spans="1:35" ht="15" hidden="1" customHeight="1" x14ac:dyDescent="0.35">
      <c r="A3" s="346"/>
      <c r="B3" s="75" t="s">
        <v>287</v>
      </c>
      <c r="C3" s="343">
        <v>2</v>
      </c>
      <c r="D3" s="337"/>
      <c r="E3" s="337"/>
      <c r="F3" s="337"/>
      <c r="G3" s="337">
        <v>3</v>
      </c>
      <c r="H3" s="337"/>
      <c r="I3" s="337"/>
      <c r="J3" s="337"/>
      <c r="K3" s="337">
        <v>4</v>
      </c>
      <c r="L3" s="337"/>
      <c r="M3" s="337"/>
      <c r="N3" s="337"/>
      <c r="O3" s="343">
        <v>5</v>
      </c>
      <c r="P3" s="337"/>
      <c r="Q3" s="337"/>
      <c r="R3" s="337"/>
      <c r="S3" s="337">
        <v>6</v>
      </c>
      <c r="T3" s="337"/>
      <c r="U3" s="337"/>
      <c r="V3" s="337"/>
      <c r="W3" s="299"/>
      <c r="X3" s="299"/>
      <c r="Y3" s="79"/>
      <c r="Z3" s="312">
        <v>3</v>
      </c>
      <c r="AA3" s="312"/>
      <c r="AB3" s="312"/>
      <c r="AC3" s="312"/>
      <c r="AD3" s="312">
        <v>4</v>
      </c>
      <c r="AE3" s="312"/>
      <c r="AF3" s="312"/>
      <c r="AG3" s="329" t="s">
        <v>286</v>
      </c>
      <c r="AH3" s="329" t="s">
        <v>2</v>
      </c>
      <c r="AI3" s="329" t="s">
        <v>4</v>
      </c>
    </row>
    <row r="4" spans="1:35" ht="15" hidden="1" customHeight="1" x14ac:dyDescent="0.35">
      <c r="A4" s="346"/>
      <c r="B4" s="75" t="s">
        <v>285</v>
      </c>
      <c r="C4" s="88">
        <v>2</v>
      </c>
      <c r="D4" s="89">
        <v>3</v>
      </c>
      <c r="E4" s="88">
        <v>4</v>
      </c>
      <c r="F4" s="88">
        <v>5</v>
      </c>
      <c r="G4" s="88">
        <v>6</v>
      </c>
      <c r="H4" s="89">
        <v>7</v>
      </c>
      <c r="I4" s="88">
        <v>8</v>
      </c>
      <c r="J4" s="88">
        <v>9</v>
      </c>
      <c r="K4" s="88">
        <v>10</v>
      </c>
      <c r="L4" s="89">
        <v>11</v>
      </c>
      <c r="M4" s="88">
        <v>12</v>
      </c>
      <c r="N4" s="88">
        <v>13</v>
      </c>
      <c r="O4" s="88">
        <v>14</v>
      </c>
      <c r="P4" s="89">
        <v>15</v>
      </c>
      <c r="Q4" s="88">
        <v>16</v>
      </c>
      <c r="R4" s="88">
        <v>17</v>
      </c>
      <c r="S4" s="88">
        <v>18</v>
      </c>
      <c r="T4" s="89">
        <v>19</v>
      </c>
      <c r="U4" s="88">
        <v>20</v>
      </c>
      <c r="V4" s="88">
        <v>21</v>
      </c>
      <c r="W4" s="299">
        <v>3</v>
      </c>
      <c r="X4" s="299">
        <v>4</v>
      </c>
      <c r="Y4" s="90">
        <v>5</v>
      </c>
      <c r="Z4" s="90">
        <v>6</v>
      </c>
      <c r="AA4" s="91">
        <v>7</v>
      </c>
      <c r="AB4" s="90">
        <v>8</v>
      </c>
      <c r="AC4" s="90">
        <v>9</v>
      </c>
      <c r="AD4" s="90">
        <v>10</v>
      </c>
      <c r="AE4" s="91">
        <v>11</v>
      </c>
      <c r="AF4" s="90">
        <v>12</v>
      </c>
      <c r="AG4" s="329"/>
      <c r="AH4" s="329"/>
      <c r="AI4" s="329"/>
    </row>
    <row r="5" spans="1:35" ht="15" customHeight="1" x14ac:dyDescent="0.35">
      <c r="A5" s="346"/>
      <c r="B5" s="72" t="s">
        <v>284</v>
      </c>
      <c r="C5" s="338" t="s">
        <v>283</v>
      </c>
      <c r="D5" s="339"/>
      <c r="E5" s="339"/>
      <c r="F5" s="344"/>
      <c r="G5" s="338" t="s">
        <v>282</v>
      </c>
      <c r="H5" s="339"/>
      <c r="I5" s="339"/>
      <c r="J5" s="344"/>
      <c r="K5" s="338" t="s">
        <v>281</v>
      </c>
      <c r="L5" s="339"/>
      <c r="M5" s="339"/>
      <c r="N5" s="344"/>
      <c r="O5" s="338" t="s">
        <v>280</v>
      </c>
      <c r="P5" s="339"/>
      <c r="Q5" s="339"/>
      <c r="R5" s="344"/>
      <c r="S5" s="338" t="s">
        <v>279</v>
      </c>
      <c r="T5" s="339"/>
      <c r="U5" s="339"/>
      <c r="V5" s="339"/>
      <c r="W5" s="341" t="s">
        <v>342</v>
      </c>
      <c r="X5" s="341"/>
      <c r="Y5" s="80"/>
      <c r="Z5" s="313" t="s">
        <v>297</v>
      </c>
      <c r="AA5" s="314"/>
      <c r="AB5" s="314"/>
      <c r="AC5" s="315"/>
      <c r="AD5" s="313" t="s">
        <v>298</v>
      </c>
      <c r="AE5" s="314"/>
      <c r="AF5" s="315"/>
      <c r="AG5" s="329"/>
      <c r="AH5" s="329"/>
      <c r="AI5" s="329"/>
    </row>
    <row r="6" spans="1:35" x14ac:dyDescent="0.35">
      <c r="A6" s="346"/>
      <c r="B6" s="74" t="s">
        <v>278</v>
      </c>
      <c r="C6" s="342" t="s">
        <v>277</v>
      </c>
      <c r="D6" s="294"/>
      <c r="E6" s="294"/>
      <c r="F6" s="294"/>
      <c r="G6" s="294" t="s">
        <v>276</v>
      </c>
      <c r="H6" s="294"/>
      <c r="I6" s="294"/>
      <c r="J6" s="294"/>
      <c r="K6" s="294" t="s">
        <v>275</v>
      </c>
      <c r="L6" s="294"/>
      <c r="M6" s="294"/>
      <c r="N6" s="294"/>
      <c r="O6" s="294" t="s">
        <v>274</v>
      </c>
      <c r="P6" s="294"/>
      <c r="Q6" s="294"/>
      <c r="R6" s="294"/>
      <c r="S6" s="294" t="s">
        <v>273</v>
      </c>
      <c r="T6" s="294"/>
      <c r="U6" s="294"/>
      <c r="V6" s="294"/>
      <c r="W6" s="325" t="s">
        <v>343</v>
      </c>
      <c r="X6" s="299"/>
      <c r="Y6" s="78"/>
      <c r="Z6" s="311" t="s">
        <v>299</v>
      </c>
      <c r="AA6" s="311"/>
      <c r="AB6" s="311"/>
      <c r="AC6" s="311"/>
      <c r="AD6" s="311" t="s">
        <v>300</v>
      </c>
      <c r="AE6" s="311"/>
      <c r="AF6" s="311"/>
      <c r="AG6" s="329"/>
      <c r="AH6" s="329"/>
      <c r="AI6" s="329"/>
    </row>
    <row r="7" spans="1:35" x14ac:dyDescent="0.35">
      <c r="A7" s="346"/>
      <c r="B7" s="73" t="s">
        <v>272</v>
      </c>
      <c r="C7" s="316">
        <v>43970.558576388888</v>
      </c>
      <c r="D7" s="317"/>
      <c r="E7" s="317"/>
      <c r="F7" s="317"/>
      <c r="G7" s="317">
        <v>43970.558576388888</v>
      </c>
      <c r="H7" s="317"/>
      <c r="I7" s="317"/>
      <c r="J7" s="317"/>
      <c r="K7" s="317">
        <v>43970.558576388888</v>
      </c>
      <c r="L7" s="317"/>
      <c r="M7" s="317"/>
      <c r="N7" s="317"/>
      <c r="O7" s="317">
        <v>43970.558576388888</v>
      </c>
      <c r="P7" s="317"/>
      <c r="Q7" s="317"/>
      <c r="R7" s="317"/>
      <c r="S7" s="317">
        <v>43970.558576388888</v>
      </c>
      <c r="T7" s="317"/>
      <c r="U7" s="317"/>
      <c r="V7" s="317"/>
      <c r="W7" s="298">
        <v>43970</v>
      </c>
      <c r="X7" s="299"/>
      <c r="Y7" s="81"/>
      <c r="Z7" s="300">
        <v>43970.558576388888</v>
      </c>
      <c r="AA7" s="300"/>
      <c r="AB7" s="300"/>
      <c r="AC7" s="300"/>
      <c r="AD7" s="300">
        <v>43970.558576388888</v>
      </c>
      <c r="AE7" s="300"/>
      <c r="AF7" s="300"/>
      <c r="AG7" s="329"/>
      <c r="AH7" s="329"/>
      <c r="AI7" s="329"/>
    </row>
    <row r="8" spans="1:35" ht="15" hidden="1" customHeight="1" x14ac:dyDescent="0.35">
      <c r="A8" s="346"/>
      <c r="B8" s="73" t="s">
        <v>271</v>
      </c>
      <c r="C8" s="316">
        <v>43970.394224537034</v>
      </c>
      <c r="D8" s="317"/>
      <c r="E8" s="317"/>
      <c r="F8" s="317"/>
      <c r="G8" s="317">
        <v>43970.395474537036</v>
      </c>
      <c r="H8" s="317"/>
      <c r="I8" s="317"/>
      <c r="J8" s="317"/>
      <c r="K8" s="317">
        <v>43970.396064814813</v>
      </c>
      <c r="L8" s="317"/>
      <c r="M8" s="317"/>
      <c r="N8" s="317"/>
      <c r="O8" s="317">
        <v>43970.396851851852</v>
      </c>
      <c r="P8" s="317"/>
      <c r="Q8" s="317"/>
      <c r="R8" s="317"/>
      <c r="S8" s="317">
        <v>43970.397418981483</v>
      </c>
      <c r="T8" s="317"/>
      <c r="U8" s="317"/>
      <c r="V8" s="317"/>
      <c r="W8" s="299"/>
      <c r="X8" s="299"/>
      <c r="Y8" s="81"/>
      <c r="Z8" s="300">
        <v>43970.398946759262</v>
      </c>
      <c r="AA8" s="300"/>
      <c r="AB8" s="300"/>
      <c r="AC8" s="300"/>
      <c r="AD8" s="300">
        <v>43970.399305555555</v>
      </c>
      <c r="AE8" s="300"/>
      <c r="AF8" s="300"/>
      <c r="AG8" s="329"/>
      <c r="AH8" s="329"/>
      <c r="AI8" s="329"/>
    </row>
    <row r="9" spans="1:35" ht="15" hidden="1" customHeight="1" x14ac:dyDescent="0.35">
      <c r="A9" s="346"/>
      <c r="B9" s="73" t="s">
        <v>270</v>
      </c>
      <c r="C9" s="316" t="s">
        <v>269</v>
      </c>
      <c r="D9" s="317"/>
      <c r="E9" s="317"/>
      <c r="F9" s="317"/>
      <c r="G9" s="317" t="s">
        <v>269</v>
      </c>
      <c r="H9" s="317"/>
      <c r="I9" s="317"/>
      <c r="J9" s="317"/>
      <c r="K9" s="317" t="s">
        <v>269</v>
      </c>
      <c r="L9" s="317"/>
      <c r="M9" s="317"/>
      <c r="N9" s="317"/>
      <c r="O9" s="317" t="s">
        <v>269</v>
      </c>
      <c r="P9" s="317"/>
      <c r="Q9" s="317"/>
      <c r="R9" s="317"/>
      <c r="S9" s="317" t="s">
        <v>269</v>
      </c>
      <c r="T9" s="317"/>
      <c r="U9" s="317"/>
      <c r="V9" s="317"/>
      <c r="W9" s="299"/>
      <c r="X9" s="299"/>
      <c r="Y9" s="81"/>
      <c r="Z9" s="300" t="s">
        <v>269</v>
      </c>
      <c r="AA9" s="300"/>
      <c r="AB9" s="300"/>
      <c r="AC9" s="300"/>
      <c r="AD9" s="300" t="s">
        <v>269</v>
      </c>
      <c r="AE9" s="300"/>
      <c r="AF9" s="300"/>
      <c r="AG9" s="329"/>
      <c r="AH9" s="329"/>
      <c r="AI9" s="329"/>
    </row>
    <row r="10" spans="1:35" ht="33" customHeight="1" x14ac:dyDescent="0.35">
      <c r="A10" s="346"/>
      <c r="B10" s="285" t="s">
        <v>542</v>
      </c>
      <c r="C10" s="293" t="s">
        <v>543</v>
      </c>
      <c r="D10" s="294"/>
      <c r="E10" s="294"/>
      <c r="F10" s="294"/>
      <c r="G10" s="293" t="s">
        <v>543</v>
      </c>
      <c r="H10" s="294"/>
      <c r="I10" s="294"/>
      <c r="J10" s="294"/>
      <c r="K10" s="293" t="s">
        <v>543</v>
      </c>
      <c r="L10" s="294"/>
      <c r="M10" s="294"/>
      <c r="N10" s="294"/>
      <c r="O10" s="293" t="s">
        <v>543</v>
      </c>
      <c r="P10" s="294"/>
      <c r="Q10" s="294"/>
      <c r="R10" s="294"/>
      <c r="S10" s="293" t="s">
        <v>543</v>
      </c>
      <c r="T10" s="294"/>
      <c r="U10" s="294"/>
      <c r="V10" s="294"/>
      <c r="W10" s="325" t="s">
        <v>543</v>
      </c>
      <c r="X10" s="299"/>
      <c r="Y10" s="78"/>
      <c r="Z10" s="293" t="s">
        <v>543</v>
      </c>
      <c r="AA10" s="294"/>
      <c r="AB10" s="294"/>
      <c r="AC10" s="294"/>
      <c r="AD10" s="327" t="s">
        <v>108</v>
      </c>
      <c r="AE10" s="327"/>
      <c r="AF10" s="328"/>
      <c r="AG10" s="329"/>
      <c r="AH10" s="329"/>
      <c r="AI10" s="329"/>
    </row>
    <row r="11" spans="1:35" ht="16.5" customHeight="1" x14ac:dyDescent="0.35">
      <c r="A11" s="346"/>
      <c r="B11" s="72" t="s">
        <v>544</v>
      </c>
      <c r="C11" s="295" t="s">
        <v>293</v>
      </c>
      <c r="D11" s="296"/>
      <c r="E11" s="296"/>
      <c r="F11" s="297"/>
      <c r="G11" s="295" t="s">
        <v>294</v>
      </c>
      <c r="H11" s="296"/>
      <c r="I11" s="296"/>
      <c r="J11" s="297"/>
      <c r="K11" s="295" t="s">
        <v>295</v>
      </c>
      <c r="L11" s="296"/>
      <c r="M11" s="296"/>
      <c r="N11" s="297"/>
      <c r="O11" s="295" t="s">
        <v>296</v>
      </c>
      <c r="P11" s="296"/>
      <c r="Q11" s="296"/>
      <c r="R11" s="297"/>
      <c r="S11" s="295" t="s">
        <v>295</v>
      </c>
      <c r="T11" s="296"/>
      <c r="U11" s="296"/>
      <c r="V11" s="297"/>
      <c r="W11" s="326"/>
      <c r="X11" s="326"/>
      <c r="Y11" s="82"/>
      <c r="Z11" s="322" t="s">
        <v>268</v>
      </c>
      <c r="AA11" s="323"/>
      <c r="AB11" s="323"/>
      <c r="AC11" s="324"/>
      <c r="AD11" s="322" t="s">
        <v>268</v>
      </c>
      <c r="AE11" s="323"/>
      <c r="AF11" s="324"/>
      <c r="AG11" s="329"/>
      <c r="AH11" s="329"/>
      <c r="AI11" s="329"/>
    </row>
    <row r="12" spans="1:35" x14ac:dyDescent="0.35">
      <c r="A12" s="70"/>
      <c r="B12" s="286" t="s">
        <v>545</v>
      </c>
      <c r="C12" s="49">
        <v>65</v>
      </c>
      <c r="D12" s="49" t="s">
        <v>267</v>
      </c>
      <c r="F12" s="63">
        <v>0</v>
      </c>
      <c r="G12" s="49">
        <v>79.199996999999996</v>
      </c>
      <c r="H12" s="49" t="s">
        <v>266</v>
      </c>
      <c r="J12" s="63">
        <v>0</v>
      </c>
      <c r="K12" s="49">
        <v>74.400002000000001</v>
      </c>
      <c r="L12" s="49" t="s">
        <v>265</v>
      </c>
      <c r="N12" s="63">
        <v>0</v>
      </c>
      <c r="O12" s="49">
        <v>82.599997999999999</v>
      </c>
      <c r="P12" s="49" t="s">
        <v>264</v>
      </c>
      <c r="R12" s="63">
        <v>0</v>
      </c>
      <c r="S12" s="49">
        <v>79.5</v>
      </c>
      <c r="T12" s="49" t="s">
        <v>263</v>
      </c>
      <c r="V12" s="63">
        <v>0</v>
      </c>
      <c r="W12" s="83" t="s">
        <v>301</v>
      </c>
      <c r="Y12" s="84">
        <v>0</v>
      </c>
      <c r="Z12" s="83">
        <v>85.099997999999999</v>
      </c>
      <c r="AA12" s="83" t="s">
        <v>302</v>
      </c>
      <c r="AC12" s="84">
        <v>0</v>
      </c>
      <c r="AD12" s="83">
        <v>74.400002000000001</v>
      </c>
      <c r="AE12" s="83" t="s">
        <v>265</v>
      </c>
      <c r="AG12" s="71"/>
      <c r="AH12" s="66"/>
      <c r="AI12" s="66"/>
    </row>
    <row r="13" spans="1:35" x14ac:dyDescent="0.35">
      <c r="B13" s="67"/>
      <c r="C13" s="69" t="s">
        <v>129</v>
      </c>
      <c r="F13" s="63"/>
      <c r="G13" s="49" t="s">
        <v>129</v>
      </c>
      <c r="J13" s="63"/>
      <c r="K13" s="49" t="s">
        <v>129</v>
      </c>
      <c r="N13" s="63"/>
      <c r="O13" s="49" t="s">
        <v>129</v>
      </c>
      <c r="R13" s="63"/>
      <c r="S13" s="49" t="s">
        <v>129</v>
      </c>
      <c r="V13" s="63"/>
      <c r="Y13" s="84"/>
      <c r="Z13" s="83" t="s">
        <v>129</v>
      </c>
      <c r="AC13" s="84"/>
      <c r="AD13" s="83" t="s">
        <v>129</v>
      </c>
      <c r="AG13" s="66" t="s">
        <v>129</v>
      </c>
      <c r="AH13" s="66" t="s">
        <v>129</v>
      </c>
      <c r="AI13" s="66" t="s">
        <v>129</v>
      </c>
    </row>
    <row r="14" spans="1:35" x14ac:dyDescent="0.35">
      <c r="B14" s="67"/>
      <c r="C14" s="319" t="s">
        <v>262</v>
      </c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  <c r="V14" s="319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66" t="s">
        <v>129</v>
      </c>
      <c r="AH14" s="66" t="s">
        <v>129</v>
      </c>
      <c r="AI14" s="66" t="s">
        <v>129</v>
      </c>
    </row>
    <row r="15" spans="1:35" x14ac:dyDescent="0.35">
      <c r="A15" s="70"/>
      <c r="B15" s="67" t="s">
        <v>52</v>
      </c>
      <c r="C15" s="69">
        <v>0.2</v>
      </c>
      <c r="D15" s="49" t="s">
        <v>261</v>
      </c>
      <c r="E15" s="48" t="s">
        <v>130</v>
      </c>
      <c r="F15" s="63">
        <v>1</v>
      </c>
      <c r="G15" s="49">
        <v>120</v>
      </c>
      <c r="H15" s="49" t="s">
        <v>138</v>
      </c>
      <c r="I15" s="48" t="s">
        <v>130</v>
      </c>
      <c r="J15" s="63">
        <v>3</v>
      </c>
      <c r="K15" s="49">
        <v>46</v>
      </c>
      <c r="L15" s="49" t="s">
        <v>260</v>
      </c>
      <c r="M15" s="48" t="s">
        <v>130</v>
      </c>
      <c r="N15" s="63">
        <v>3</v>
      </c>
      <c r="O15" s="49">
        <v>55</v>
      </c>
      <c r="P15" s="49" t="s">
        <v>259</v>
      </c>
      <c r="Q15" s="48" t="s">
        <v>130</v>
      </c>
      <c r="R15" s="63">
        <v>3</v>
      </c>
      <c r="S15" s="49">
        <v>14</v>
      </c>
      <c r="T15" s="49" t="s">
        <v>191</v>
      </c>
      <c r="U15" s="48" t="s">
        <v>130</v>
      </c>
      <c r="V15" s="63">
        <v>3</v>
      </c>
      <c r="W15" s="83" t="s">
        <v>303</v>
      </c>
      <c r="X15" s="1" t="s">
        <v>130</v>
      </c>
      <c r="Y15" s="84">
        <v>0</v>
      </c>
      <c r="Z15" s="83">
        <v>0.11</v>
      </c>
      <c r="AA15" s="83" t="s">
        <v>304</v>
      </c>
      <c r="AB15" s="1" t="s">
        <v>130</v>
      </c>
      <c r="AC15" s="84">
        <v>1</v>
      </c>
      <c r="AD15" s="83">
        <v>0.05</v>
      </c>
      <c r="AE15" s="83" t="s">
        <v>303</v>
      </c>
      <c r="AF15" s="1" t="s">
        <v>130</v>
      </c>
      <c r="AG15" s="66">
        <v>0.1</v>
      </c>
      <c r="AH15" s="66">
        <v>0.3</v>
      </c>
      <c r="AI15" s="66">
        <v>0.5</v>
      </c>
    </row>
    <row r="16" spans="1:35" x14ac:dyDescent="0.35">
      <c r="A16" s="70"/>
      <c r="B16" s="67" t="s">
        <v>56</v>
      </c>
      <c r="C16" s="69">
        <v>8.6999999999999994E-2</v>
      </c>
      <c r="D16" s="49" t="s">
        <v>258</v>
      </c>
      <c r="E16" s="48" t="s">
        <v>130</v>
      </c>
      <c r="F16" s="63">
        <v>0</v>
      </c>
      <c r="G16" s="49">
        <v>38</v>
      </c>
      <c r="H16" s="49" t="s">
        <v>257</v>
      </c>
      <c r="I16" s="48" t="s">
        <v>130</v>
      </c>
      <c r="J16" s="63">
        <v>2</v>
      </c>
      <c r="K16" s="49">
        <v>1.5</v>
      </c>
      <c r="L16" s="49" t="s">
        <v>256</v>
      </c>
      <c r="M16" s="48" t="s">
        <v>130</v>
      </c>
      <c r="N16" s="63">
        <v>1</v>
      </c>
      <c r="O16" s="49">
        <v>69</v>
      </c>
      <c r="P16" s="49" t="s">
        <v>255</v>
      </c>
      <c r="Q16" s="48" t="s">
        <v>130</v>
      </c>
      <c r="R16" s="63">
        <v>3</v>
      </c>
      <c r="S16" s="49">
        <v>13</v>
      </c>
      <c r="T16" s="49" t="s">
        <v>254</v>
      </c>
      <c r="U16" s="48" t="s">
        <v>130</v>
      </c>
      <c r="V16" s="63">
        <v>2</v>
      </c>
      <c r="W16" s="83" t="s">
        <v>303</v>
      </c>
      <c r="X16" s="1" t="s">
        <v>130</v>
      </c>
      <c r="Y16" s="84">
        <v>0</v>
      </c>
      <c r="Z16" s="83">
        <v>0.05</v>
      </c>
      <c r="AA16" s="83" t="s">
        <v>303</v>
      </c>
      <c r="AB16" s="1" t="s">
        <v>130</v>
      </c>
      <c r="AC16" s="84">
        <v>0</v>
      </c>
      <c r="AD16" s="83">
        <v>0.05</v>
      </c>
      <c r="AE16" s="83" t="s">
        <v>303</v>
      </c>
      <c r="AF16" s="1" t="s">
        <v>130</v>
      </c>
      <c r="AG16" s="66">
        <v>0.1</v>
      </c>
      <c r="AH16" s="66">
        <v>1.6</v>
      </c>
      <c r="AI16" s="66">
        <v>40</v>
      </c>
    </row>
    <row r="17" spans="1:35" x14ac:dyDescent="0.35">
      <c r="A17" s="70"/>
      <c r="B17" s="67" t="s">
        <v>54</v>
      </c>
      <c r="C17" s="69">
        <v>5.5E-2</v>
      </c>
      <c r="D17" s="49" t="s">
        <v>253</v>
      </c>
      <c r="E17" s="48" t="s">
        <v>130</v>
      </c>
      <c r="F17" s="63">
        <v>0</v>
      </c>
      <c r="G17" s="49">
        <v>25</v>
      </c>
      <c r="H17" s="49" t="s">
        <v>213</v>
      </c>
      <c r="I17" s="48" t="s">
        <v>130</v>
      </c>
      <c r="J17" s="63">
        <v>2</v>
      </c>
      <c r="K17" s="49">
        <v>97</v>
      </c>
      <c r="L17" s="49" t="s">
        <v>252</v>
      </c>
      <c r="M17" s="48" t="s">
        <v>130</v>
      </c>
      <c r="N17" s="63">
        <v>3</v>
      </c>
      <c r="O17" s="49">
        <v>45</v>
      </c>
      <c r="P17" s="49" t="s">
        <v>251</v>
      </c>
      <c r="Q17" s="48" t="s">
        <v>130</v>
      </c>
      <c r="R17" s="63">
        <v>3</v>
      </c>
      <c r="S17" s="49">
        <v>5</v>
      </c>
      <c r="T17" s="49" t="s">
        <v>250</v>
      </c>
      <c r="U17" s="48" t="s">
        <v>130</v>
      </c>
      <c r="V17" s="63">
        <v>2</v>
      </c>
      <c r="W17" s="83" t="s">
        <v>303</v>
      </c>
      <c r="X17" s="1" t="s">
        <v>130</v>
      </c>
      <c r="Y17" s="84">
        <v>0</v>
      </c>
      <c r="Z17" s="83">
        <v>0.05</v>
      </c>
      <c r="AA17" s="83" t="s">
        <v>303</v>
      </c>
      <c r="AB17" s="1" t="s">
        <v>130</v>
      </c>
      <c r="AC17" s="84">
        <v>0</v>
      </c>
      <c r="AD17" s="83">
        <v>0.05</v>
      </c>
      <c r="AE17" s="83" t="s">
        <v>303</v>
      </c>
      <c r="AF17" s="1" t="s">
        <v>130</v>
      </c>
      <c r="AG17" s="66">
        <v>0.1</v>
      </c>
      <c r="AH17" s="66">
        <v>0.8</v>
      </c>
      <c r="AI17" s="66">
        <v>38.5</v>
      </c>
    </row>
    <row r="18" spans="1:35" x14ac:dyDescent="0.35">
      <c r="A18" s="70"/>
      <c r="B18" s="67" t="s">
        <v>249</v>
      </c>
      <c r="C18" s="69">
        <v>0.1</v>
      </c>
      <c r="D18" s="49" t="s">
        <v>248</v>
      </c>
      <c r="E18" s="48" t="s">
        <v>130</v>
      </c>
      <c r="F18" s="63">
        <v>0</v>
      </c>
      <c r="G18" s="49">
        <v>99</v>
      </c>
      <c r="H18" s="49" t="s">
        <v>247</v>
      </c>
      <c r="I18" s="48" t="s">
        <v>130</v>
      </c>
      <c r="J18" s="63">
        <v>3</v>
      </c>
      <c r="K18" s="49">
        <v>93</v>
      </c>
      <c r="L18" s="49" t="s">
        <v>246</v>
      </c>
      <c r="M18" s="48" t="s">
        <v>130</v>
      </c>
      <c r="N18" s="63">
        <v>3</v>
      </c>
      <c r="O18" s="49">
        <v>100</v>
      </c>
      <c r="P18" s="49" t="s">
        <v>245</v>
      </c>
      <c r="Q18" s="48" t="s">
        <v>130</v>
      </c>
      <c r="R18" s="63">
        <v>3</v>
      </c>
      <c r="S18" s="49">
        <v>19</v>
      </c>
      <c r="T18" s="49" t="s">
        <v>214</v>
      </c>
      <c r="U18" s="48" t="s">
        <v>130</v>
      </c>
      <c r="V18" s="63">
        <v>2</v>
      </c>
      <c r="W18" s="83" t="s">
        <v>248</v>
      </c>
      <c r="X18" s="1" t="s">
        <v>130</v>
      </c>
      <c r="Y18" s="84">
        <v>0</v>
      </c>
      <c r="Z18" s="83">
        <v>0.1</v>
      </c>
      <c r="AA18" s="83" t="s">
        <v>248</v>
      </c>
      <c r="AB18" s="1" t="s">
        <v>130</v>
      </c>
      <c r="AC18" s="84">
        <v>0</v>
      </c>
      <c r="AD18" s="83">
        <v>0.1</v>
      </c>
      <c r="AE18" s="83" t="s">
        <v>248</v>
      </c>
      <c r="AF18" s="1" t="s">
        <v>130</v>
      </c>
      <c r="AG18" s="66">
        <v>0.1</v>
      </c>
      <c r="AH18" s="66">
        <v>1.2</v>
      </c>
      <c r="AI18" s="66">
        <v>82.5</v>
      </c>
    </row>
    <row r="19" spans="1:35" x14ac:dyDescent="0.35">
      <c r="A19" s="70"/>
      <c r="B19" s="67" t="s">
        <v>244</v>
      </c>
      <c r="C19" s="69" t="s">
        <v>129</v>
      </c>
      <c r="D19" s="49" t="s">
        <v>129</v>
      </c>
      <c r="E19" s="48" t="s">
        <v>129</v>
      </c>
      <c r="F19" s="49" t="s">
        <v>129</v>
      </c>
      <c r="G19" s="49" t="s">
        <v>129</v>
      </c>
      <c r="H19" s="49" t="s">
        <v>129</v>
      </c>
      <c r="I19" s="48" t="s">
        <v>129</v>
      </c>
      <c r="J19" s="49" t="s">
        <v>129</v>
      </c>
      <c r="K19" s="49" t="s">
        <v>129</v>
      </c>
      <c r="L19" s="49" t="s">
        <v>129</v>
      </c>
      <c r="M19" s="48" t="s">
        <v>129</v>
      </c>
      <c r="N19" s="49" t="s">
        <v>129</v>
      </c>
      <c r="O19" s="49" t="s">
        <v>129</v>
      </c>
      <c r="P19" s="49" t="s">
        <v>129</v>
      </c>
      <c r="Q19" s="48" t="s">
        <v>129</v>
      </c>
      <c r="R19" s="49" t="s">
        <v>129</v>
      </c>
      <c r="S19" s="49" t="s">
        <v>129</v>
      </c>
      <c r="T19" s="49" t="s">
        <v>129</v>
      </c>
      <c r="U19" s="48" t="s">
        <v>129</v>
      </c>
      <c r="V19" s="63" t="s">
        <v>129</v>
      </c>
      <c r="W19" s="83" t="s">
        <v>129</v>
      </c>
      <c r="X19" s="1" t="s">
        <v>129</v>
      </c>
      <c r="Y19" s="83" t="s">
        <v>129</v>
      </c>
      <c r="Z19" s="83" t="s">
        <v>129</v>
      </c>
      <c r="AA19" s="83" t="s">
        <v>129</v>
      </c>
      <c r="AB19" s="1" t="s">
        <v>129</v>
      </c>
      <c r="AC19" s="83" t="s">
        <v>129</v>
      </c>
      <c r="AD19" s="83" t="s">
        <v>129</v>
      </c>
      <c r="AE19" s="83" t="s">
        <v>129</v>
      </c>
      <c r="AF19" s="1" t="s">
        <v>129</v>
      </c>
      <c r="AG19" s="66" t="s">
        <v>129</v>
      </c>
      <c r="AH19" s="66" t="s">
        <v>129</v>
      </c>
      <c r="AI19" s="66" t="s">
        <v>129</v>
      </c>
    </row>
    <row r="20" spans="1:35" x14ac:dyDescent="0.35">
      <c r="B20" s="67" t="s">
        <v>243</v>
      </c>
      <c r="C20" s="69"/>
      <c r="D20" s="49" t="s">
        <v>242</v>
      </c>
      <c r="E20" s="48" t="s">
        <v>130</v>
      </c>
      <c r="F20" s="49">
        <v>0</v>
      </c>
      <c r="G20" s="49">
        <v>290</v>
      </c>
      <c r="H20" s="49" t="s">
        <v>203</v>
      </c>
      <c r="I20" s="48" t="s">
        <v>130</v>
      </c>
      <c r="J20" s="49">
        <v>0</v>
      </c>
      <c r="K20" s="49">
        <v>240</v>
      </c>
      <c r="L20" s="49" t="s">
        <v>205</v>
      </c>
      <c r="M20" s="48" t="s">
        <v>130</v>
      </c>
      <c r="N20" s="49">
        <v>0</v>
      </c>
      <c r="O20" s="49">
        <v>270</v>
      </c>
      <c r="P20" s="49" t="s">
        <v>196</v>
      </c>
      <c r="Q20" s="48" t="s">
        <v>130</v>
      </c>
      <c r="R20" s="49">
        <v>0</v>
      </c>
      <c r="S20" s="49">
        <v>51</v>
      </c>
      <c r="T20" s="49" t="s">
        <v>241</v>
      </c>
      <c r="U20" s="48" t="s">
        <v>130</v>
      </c>
      <c r="V20" s="63"/>
      <c r="W20" s="83" t="s">
        <v>305</v>
      </c>
      <c r="X20" s="1" t="s">
        <v>130</v>
      </c>
      <c r="Y20" s="83">
        <v>0</v>
      </c>
      <c r="Z20" s="83">
        <v>0.25</v>
      </c>
      <c r="AA20" s="83" t="s">
        <v>305</v>
      </c>
      <c r="AB20" s="1" t="s">
        <v>130</v>
      </c>
      <c r="AC20" s="83">
        <v>0</v>
      </c>
      <c r="AD20" s="83">
        <v>0.25</v>
      </c>
      <c r="AE20" s="83" t="s">
        <v>305</v>
      </c>
      <c r="AF20" s="1" t="s">
        <v>130</v>
      </c>
      <c r="AG20" s="66" t="s">
        <v>129</v>
      </c>
      <c r="AH20" s="66" t="s">
        <v>129</v>
      </c>
      <c r="AI20" s="66" t="s">
        <v>129</v>
      </c>
    </row>
    <row r="21" spans="1:35" x14ac:dyDescent="0.35">
      <c r="B21" s="67"/>
      <c r="C21" s="69" t="s">
        <v>129</v>
      </c>
      <c r="F21" s="63"/>
      <c r="G21" s="49" t="s">
        <v>129</v>
      </c>
      <c r="J21" s="63"/>
      <c r="K21" s="49" t="s">
        <v>129</v>
      </c>
      <c r="N21" s="63"/>
      <c r="O21" s="49" t="s">
        <v>129</v>
      </c>
      <c r="R21" s="63"/>
      <c r="S21" s="49" t="s">
        <v>129</v>
      </c>
      <c r="V21" s="63"/>
      <c r="Y21" s="84"/>
      <c r="Z21" s="83" t="s">
        <v>129</v>
      </c>
      <c r="AC21" s="84"/>
      <c r="AD21" s="83" t="s">
        <v>129</v>
      </c>
      <c r="AG21" s="66" t="s">
        <v>129</v>
      </c>
      <c r="AH21" s="66" t="s">
        <v>129</v>
      </c>
      <c r="AI21" s="66" t="s">
        <v>129</v>
      </c>
    </row>
    <row r="22" spans="1:35" x14ac:dyDescent="0.35">
      <c r="B22" s="67"/>
      <c r="C22" s="318" t="s">
        <v>240</v>
      </c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  <c r="V22" s="319"/>
      <c r="W22" s="320"/>
      <c r="X22" s="320"/>
      <c r="Y22" s="320"/>
      <c r="Z22" s="320"/>
      <c r="AA22" s="320"/>
      <c r="AB22" s="320"/>
      <c r="AC22" s="320"/>
      <c r="AD22" s="320"/>
      <c r="AE22" s="320"/>
      <c r="AF22" s="321"/>
      <c r="AG22" s="66" t="s">
        <v>129</v>
      </c>
      <c r="AH22" s="66" t="s">
        <v>129</v>
      </c>
      <c r="AI22" s="66" t="s">
        <v>129</v>
      </c>
    </row>
    <row r="23" spans="1:35" x14ac:dyDescent="0.35">
      <c r="A23" s="70"/>
      <c r="B23" s="67" t="s">
        <v>29</v>
      </c>
      <c r="C23" s="69">
        <v>12</v>
      </c>
      <c r="D23" s="49" t="s">
        <v>239</v>
      </c>
      <c r="E23" s="48" t="s">
        <v>130</v>
      </c>
      <c r="F23" s="63">
        <v>2</v>
      </c>
      <c r="G23" s="49">
        <v>550</v>
      </c>
      <c r="H23" s="49" t="s">
        <v>230</v>
      </c>
      <c r="I23" s="48" t="s">
        <v>130</v>
      </c>
      <c r="J23" s="63">
        <v>3</v>
      </c>
      <c r="K23" s="49">
        <v>0</v>
      </c>
      <c r="L23" s="49" t="s">
        <v>181</v>
      </c>
      <c r="N23" s="63">
        <v>0</v>
      </c>
      <c r="O23" s="49">
        <v>570</v>
      </c>
      <c r="P23" s="49" t="s">
        <v>238</v>
      </c>
      <c r="Q23" s="48" t="s">
        <v>130</v>
      </c>
      <c r="R23" s="63">
        <v>3</v>
      </c>
      <c r="S23" s="49">
        <v>390</v>
      </c>
      <c r="T23" s="49" t="s">
        <v>237</v>
      </c>
      <c r="U23" s="48" t="s">
        <v>130</v>
      </c>
      <c r="V23" s="63">
        <v>3</v>
      </c>
      <c r="W23" s="83" t="s">
        <v>306</v>
      </c>
      <c r="X23" s="1" t="s">
        <v>130</v>
      </c>
      <c r="Y23" s="84">
        <v>2</v>
      </c>
      <c r="Z23" s="83">
        <v>11</v>
      </c>
      <c r="AA23" s="83" t="s">
        <v>151</v>
      </c>
      <c r="AB23" s="1" t="s">
        <v>130</v>
      </c>
      <c r="AC23" s="84">
        <v>2</v>
      </c>
      <c r="AD23" s="83">
        <v>0.51</v>
      </c>
      <c r="AE23" s="83" t="s">
        <v>307</v>
      </c>
      <c r="AF23" s="1" t="s">
        <v>130</v>
      </c>
      <c r="AG23" s="66">
        <v>0.1</v>
      </c>
      <c r="AH23" s="66">
        <v>0.3</v>
      </c>
      <c r="AI23" s="66">
        <v>81.599999999999994</v>
      </c>
    </row>
    <row r="24" spans="1:35" x14ac:dyDescent="0.35">
      <c r="A24" s="70"/>
      <c r="B24" s="67" t="s">
        <v>37</v>
      </c>
      <c r="C24" s="69">
        <v>50</v>
      </c>
      <c r="D24" s="49" t="s">
        <v>224</v>
      </c>
      <c r="E24" s="48" t="s">
        <v>130</v>
      </c>
      <c r="F24" s="63">
        <v>3</v>
      </c>
      <c r="G24" s="49">
        <v>67</v>
      </c>
      <c r="H24" s="49" t="s">
        <v>220</v>
      </c>
      <c r="I24" s="48" t="s">
        <v>130</v>
      </c>
      <c r="J24" s="63">
        <v>3</v>
      </c>
      <c r="K24" s="49">
        <v>0</v>
      </c>
      <c r="L24" s="49" t="s">
        <v>181</v>
      </c>
      <c r="M24" s="48">
        <v>0</v>
      </c>
      <c r="N24" s="63">
        <v>0</v>
      </c>
      <c r="O24" s="49">
        <v>36</v>
      </c>
      <c r="P24" s="49" t="s">
        <v>210</v>
      </c>
      <c r="Q24" s="48" t="s">
        <v>130</v>
      </c>
      <c r="R24" s="63">
        <v>3</v>
      </c>
      <c r="S24" s="49">
        <v>43</v>
      </c>
      <c r="T24" s="49" t="s">
        <v>236</v>
      </c>
      <c r="U24" s="48" t="s">
        <v>130</v>
      </c>
      <c r="V24" s="63">
        <v>3</v>
      </c>
      <c r="W24" s="83" t="s">
        <v>308</v>
      </c>
      <c r="X24" s="1" t="s">
        <v>130</v>
      </c>
      <c r="Y24" s="84">
        <v>3</v>
      </c>
      <c r="Z24" s="83">
        <v>110</v>
      </c>
      <c r="AA24" s="83" t="s">
        <v>309</v>
      </c>
      <c r="AB24" s="1" t="s">
        <v>130</v>
      </c>
      <c r="AC24" s="84">
        <v>3</v>
      </c>
      <c r="AD24" s="83">
        <v>6.9</v>
      </c>
      <c r="AE24" s="83" t="s">
        <v>310</v>
      </c>
      <c r="AF24" s="1" t="s">
        <v>130</v>
      </c>
      <c r="AG24" s="66">
        <v>0.1</v>
      </c>
      <c r="AH24" s="66">
        <v>0.3</v>
      </c>
      <c r="AI24" s="66">
        <v>7.2</v>
      </c>
    </row>
    <row r="25" spans="1:35" x14ac:dyDescent="0.35">
      <c r="A25" s="70"/>
      <c r="B25" s="67" t="s">
        <v>235</v>
      </c>
      <c r="C25" s="69">
        <v>330</v>
      </c>
      <c r="D25" s="49" t="s">
        <v>234</v>
      </c>
      <c r="E25" s="48" t="s">
        <v>130</v>
      </c>
      <c r="F25" s="63">
        <v>2</v>
      </c>
      <c r="G25" s="49">
        <v>550</v>
      </c>
      <c r="H25" s="49" t="s">
        <v>230</v>
      </c>
      <c r="I25" s="48" t="s">
        <v>130</v>
      </c>
      <c r="J25" s="63">
        <v>2</v>
      </c>
      <c r="K25" s="49">
        <v>0</v>
      </c>
      <c r="L25" s="49" t="s">
        <v>181</v>
      </c>
      <c r="M25" s="48">
        <v>0</v>
      </c>
      <c r="N25" s="63">
        <v>0</v>
      </c>
      <c r="O25" s="49">
        <v>550</v>
      </c>
      <c r="P25" s="49" t="s">
        <v>233</v>
      </c>
      <c r="Q25" s="48" t="s">
        <v>130</v>
      </c>
      <c r="R25" s="63">
        <v>2</v>
      </c>
      <c r="S25" s="49">
        <v>350</v>
      </c>
      <c r="T25" s="49" t="s">
        <v>232</v>
      </c>
      <c r="U25" s="48" t="s">
        <v>130</v>
      </c>
      <c r="V25" s="63">
        <v>2</v>
      </c>
      <c r="W25" s="83" t="s">
        <v>311</v>
      </c>
      <c r="X25" s="1" t="s">
        <v>130</v>
      </c>
      <c r="Y25" s="84">
        <v>2</v>
      </c>
      <c r="Z25" s="83">
        <v>150</v>
      </c>
      <c r="AA25" s="83" t="s">
        <v>225</v>
      </c>
      <c r="AB25" s="1" t="s">
        <v>130</v>
      </c>
      <c r="AC25" s="84">
        <v>2</v>
      </c>
      <c r="AD25" s="83">
        <v>18</v>
      </c>
      <c r="AE25" s="83" t="s">
        <v>312</v>
      </c>
      <c r="AF25" s="1" t="s">
        <v>130</v>
      </c>
      <c r="AG25" s="66">
        <v>0.08</v>
      </c>
      <c r="AH25" s="66">
        <v>15</v>
      </c>
      <c r="AI25" s="66">
        <v>1650</v>
      </c>
    </row>
    <row r="26" spans="1:35" x14ac:dyDescent="0.35">
      <c r="B26" s="67" t="s">
        <v>231</v>
      </c>
      <c r="C26" s="69">
        <v>520</v>
      </c>
      <c r="D26" s="49" t="s">
        <v>204</v>
      </c>
      <c r="E26" s="48" t="s">
        <v>130</v>
      </c>
      <c r="F26" s="63">
        <v>3</v>
      </c>
      <c r="G26" s="49">
        <v>550</v>
      </c>
      <c r="H26" s="49" t="s">
        <v>230</v>
      </c>
      <c r="I26" s="48" t="s">
        <v>130</v>
      </c>
      <c r="J26" s="63">
        <v>3</v>
      </c>
      <c r="K26" s="49">
        <v>0</v>
      </c>
      <c r="L26" s="49" t="s">
        <v>181</v>
      </c>
      <c r="M26" s="48">
        <v>0</v>
      </c>
      <c r="N26" s="63">
        <v>0</v>
      </c>
      <c r="O26" s="49">
        <v>230</v>
      </c>
      <c r="P26" s="49" t="s">
        <v>229</v>
      </c>
      <c r="Q26" s="48" t="s">
        <v>130</v>
      </c>
      <c r="R26" s="63">
        <v>2</v>
      </c>
      <c r="S26" s="49">
        <v>200</v>
      </c>
      <c r="T26" s="49" t="s">
        <v>228</v>
      </c>
      <c r="U26" s="48" t="s">
        <v>130</v>
      </c>
      <c r="V26" s="63">
        <v>2</v>
      </c>
      <c r="W26" s="83" t="s">
        <v>313</v>
      </c>
      <c r="X26" s="1" t="s">
        <v>130</v>
      </c>
      <c r="Y26" s="84">
        <v>2</v>
      </c>
      <c r="Z26" s="83">
        <v>580</v>
      </c>
      <c r="AA26" s="83" t="s">
        <v>314</v>
      </c>
      <c r="AB26" s="1" t="s">
        <v>130</v>
      </c>
      <c r="AC26" s="84">
        <v>3</v>
      </c>
      <c r="AD26" s="83">
        <v>28</v>
      </c>
      <c r="AE26" s="83" t="s">
        <v>315</v>
      </c>
      <c r="AF26" s="1" t="s">
        <v>130</v>
      </c>
      <c r="AG26" s="66">
        <v>0.2</v>
      </c>
      <c r="AH26" s="66">
        <v>2</v>
      </c>
      <c r="AI26" s="66">
        <v>267.83999999999997</v>
      </c>
    </row>
    <row r="27" spans="1:35" x14ac:dyDescent="0.35">
      <c r="B27" s="67" t="s">
        <v>227</v>
      </c>
      <c r="C27" s="69">
        <v>140</v>
      </c>
      <c r="D27" s="49" t="s">
        <v>188</v>
      </c>
      <c r="E27" s="48" t="s">
        <v>130</v>
      </c>
      <c r="F27" s="63">
        <v>3</v>
      </c>
      <c r="G27" s="49">
        <v>170</v>
      </c>
      <c r="H27" s="49" t="s">
        <v>153</v>
      </c>
      <c r="I27" s="48" t="s">
        <v>130</v>
      </c>
      <c r="J27" s="63">
        <v>3</v>
      </c>
      <c r="K27" s="49">
        <v>0</v>
      </c>
      <c r="L27" s="49" t="s">
        <v>181</v>
      </c>
      <c r="M27" s="48">
        <v>0</v>
      </c>
      <c r="N27" s="63">
        <v>0</v>
      </c>
      <c r="O27" s="49">
        <v>64</v>
      </c>
      <c r="P27" s="49" t="s">
        <v>226</v>
      </c>
      <c r="Q27" s="48" t="s">
        <v>130</v>
      </c>
      <c r="R27" s="63">
        <v>3</v>
      </c>
      <c r="S27" s="49">
        <v>67</v>
      </c>
      <c r="T27" s="49" t="s">
        <v>220</v>
      </c>
      <c r="U27" s="48" t="s">
        <v>130</v>
      </c>
      <c r="V27" s="63">
        <v>3</v>
      </c>
      <c r="W27" s="83" t="s">
        <v>215</v>
      </c>
      <c r="X27" s="1" t="s">
        <v>130</v>
      </c>
      <c r="Y27" s="84">
        <v>3</v>
      </c>
      <c r="Z27" s="83">
        <v>190</v>
      </c>
      <c r="AA27" s="83" t="s">
        <v>195</v>
      </c>
      <c r="AB27" s="1" t="s">
        <v>130</v>
      </c>
      <c r="AC27" s="84">
        <v>3</v>
      </c>
      <c r="AD27" s="83">
        <v>10</v>
      </c>
      <c r="AE27" s="83" t="s">
        <v>316</v>
      </c>
      <c r="AF27" s="1" t="s">
        <v>130</v>
      </c>
      <c r="AG27" s="66">
        <v>0.06</v>
      </c>
      <c r="AH27" s="66">
        <v>3.9</v>
      </c>
      <c r="AI27" s="66">
        <v>30</v>
      </c>
    </row>
    <row r="28" spans="1:35" x14ac:dyDescent="0.35">
      <c r="A28" s="70"/>
      <c r="B28" s="67" t="s">
        <v>34</v>
      </c>
      <c r="C28" s="69">
        <v>150</v>
      </c>
      <c r="D28" s="49" t="s">
        <v>225</v>
      </c>
      <c r="E28" s="48" t="s">
        <v>130</v>
      </c>
      <c r="F28" s="63">
        <v>2</v>
      </c>
      <c r="G28" s="49">
        <v>150</v>
      </c>
      <c r="H28" s="49" t="s">
        <v>225</v>
      </c>
      <c r="I28" s="48" t="s">
        <v>130</v>
      </c>
      <c r="J28" s="63">
        <v>2</v>
      </c>
      <c r="K28" s="49">
        <v>0</v>
      </c>
      <c r="L28" s="49" t="s">
        <v>181</v>
      </c>
      <c r="M28" s="48">
        <v>0</v>
      </c>
      <c r="N28" s="63">
        <v>0</v>
      </c>
      <c r="O28" s="49">
        <v>50</v>
      </c>
      <c r="P28" s="49" t="s">
        <v>224</v>
      </c>
      <c r="Q28" s="48" t="s">
        <v>130</v>
      </c>
      <c r="R28" s="63">
        <v>2</v>
      </c>
      <c r="S28" s="49">
        <v>59</v>
      </c>
      <c r="T28" s="49" t="s">
        <v>223</v>
      </c>
      <c r="U28" s="48" t="s">
        <v>130</v>
      </c>
      <c r="V28" s="63">
        <v>2</v>
      </c>
      <c r="W28" s="83" t="s">
        <v>317</v>
      </c>
      <c r="X28" s="1" t="s">
        <v>130</v>
      </c>
      <c r="Y28" s="84">
        <v>2</v>
      </c>
      <c r="Z28" s="83">
        <v>160</v>
      </c>
      <c r="AA28" s="83" t="s">
        <v>140</v>
      </c>
      <c r="AB28" s="1" t="s">
        <v>130</v>
      </c>
      <c r="AC28" s="84">
        <v>2</v>
      </c>
      <c r="AD28" s="83">
        <v>9.9</v>
      </c>
      <c r="AE28" s="83" t="s">
        <v>135</v>
      </c>
      <c r="AF28" s="1" t="s">
        <v>130</v>
      </c>
      <c r="AG28" s="66">
        <v>0.15</v>
      </c>
      <c r="AH28" s="66">
        <v>2.5</v>
      </c>
      <c r="AI28" s="66">
        <v>320</v>
      </c>
    </row>
    <row r="29" spans="1:35" x14ac:dyDescent="0.35">
      <c r="A29" s="70"/>
      <c r="B29" s="67" t="s">
        <v>222</v>
      </c>
      <c r="C29" s="69">
        <v>54</v>
      </c>
      <c r="D29" s="49" t="s">
        <v>221</v>
      </c>
      <c r="E29" s="48" t="s">
        <v>130</v>
      </c>
      <c r="F29" s="63">
        <v>3</v>
      </c>
      <c r="G29" s="49">
        <v>67</v>
      </c>
      <c r="H29" s="49" t="s">
        <v>220</v>
      </c>
      <c r="I29" s="48" t="s">
        <v>130</v>
      </c>
      <c r="J29" s="63">
        <v>3</v>
      </c>
      <c r="K29" s="49">
        <v>0</v>
      </c>
      <c r="L29" s="49" t="s">
        <v>181</v>
      </c>
      <c r="M29" s="48">
        <v>0</v>
      </c>
      <c r="N29" s="63">
        <v>0</v>
      </c>
      <c r="O29" s="49">
        <v>33</v>
      </c>
      <c r="P29" s="49" t="s">
        <v>215</v>
      </c>
      <c r="Q29" s="48" t="s">
        <v>130</v>
      </c>
      <c r="R29" s="63">
        <v>3</v>
      </c>
      <c r="S29" s="49">
        <v>39</v>
      </c>
      <c r="T29" s="49" t="s">
        <v>219</v>
      </c>
      <c r="U29" s="48" t="s">
        <v>130</v>
      </c>
      <c r="V29" s="63">
        <v>3</v>
      </c>
      <c r="W29" s="83" t="s">
        <v>211</v>
      </c>
      <c r="X29" s="1" t="s">
        <v>130</v>
      </c>
      <c r="Y29" s="84">
        <v>2</v>
      </c>
      <c r="Z29" s="83">
        <v>110</v>
      </c>
      <c r="AA29" s="83" t="s">
        <v>309</v>
      </c>
      <c r="AB29" s="1" t="s">
        <v>130</v>
      </c>
      <c r="AC29" s="84">
        <v>3</v>
      </c>
      <c r="AD29" s="83">
        <v>6.1</v>
      </c>
      <c r="AE29" s="83" t="s">
        <v>318</v>
      </c>
      <c r="AF29" s="1" t="s">
        <v>130</v>
      </c>
      <c r="AG29" s="66">
        <v>0.2</v>
      </c>
      <c r="AH29" s="66">
        <v>1.1000000000000001</v>
      </c>
      <c r="AI29" s="66">
        <v>30</v>
      </c>
    </row>
    <row r="30" spans="1:35" x14ac:dyDescent="0.35">
      <c r="A30" s="70"/>
      <c r="B30" s="67" t="s">
        <v>218</v>
      </c>
      <c r="C30" s="69">
        <v>27</v>
      </c>
      <c r="D30" s="49" t="s">
        <v>137</v>
      </c>
      <c r="E30" s="48" t="s">
        <v>130</v>
      </c>
      <c r="F30" s="63">
        <v>2</v>
      </c>
      <c r="G30" s="49">
        <v>33</v>
      </c>
      <c r="H30" s="49" t="s">
        <v>215</v>
      </c>
      <c r="I30" s="48" t="s">
        <v>130</v>
      </c>
      <c r="J30" s="63">
        <v>3</v>
      </c>
      <c r="K30" s="49">
        <v>0</v>
      </c>
      <c r="L30" s="49" t="s">
        <v>181</v>
      </c>
      <c r="M30" s="48">
        <v>0</v>
      </c>
      <c r="N30" s="63">
        <v>0</v>
      </c>
      <c r="O30" s="49">
        <v>16</v>
      </c>
      <c r="P30" s="49" t="s">
        <v>217</v>
      </c>
      <c r="Q30" s="48" t="s">
        <v>130</v>
      </c>
      <c r="R30" s="63">
        <v>2</v>
      </c>
      <c r="S30" s="49">
        <v>19</v>
      </c>
      <c r="T30" s="49" t="s">
        <v>214</v>
      </c>
      <c r="U30" s="48" t="s">
        <v>130</v>
      </c>
      <c r="V30" s="63">
        <v>2</v>
      </c>
      <c r="W30" s="83" t="s">
        <v>316</v>
      </c>
      <c r="X30" s="1" t="s">
        <v>130</v>
      </c>
      <c r="Y30" s="84">
        <v>2</v>
      </c>
      <c r="Z30" s="83">
        <v>55</v>
      </c>
      <c r="AA30" s="83" t="s">
        <v>259</v>
      </c>
      <c r="AB30" s="1" t="s">
        <v>130</v>
      </c>
      <c r="AC30" s="84">
        <v>3</v>
      </c>
      <c r="AD30" s="83">
        <v>3</v>
      </c>
      <c r="AE30" s="83" t="s">
        <v>319</v>
      </c>
      <c r="AF30" s="1" t="s">
        <v>130</v>
      </c>
      <c r="AG30" s="66">
        <v>0.2</v>
      </c>
      <c r="AH30" s="66">
        <v>0.6</v>
      </c>
      <c r="AI30" s="66">
        <v>30</v>
      </c>
    </row>
    <row r="31" spans="1:35" x14ac:dyDescent="0.35">
      <c r="A31" s="70"/>
      <c r="B31" s="67" t="s">
        <v>216</v>
      </c>
      <c r="C31" s="69">
        <v>20</v>
      </c>
      <c r="D31" s="49" t="s">
        <v>211</v>
      </c>
      <c r="E31" s="48" t="s">
        <v>130</v>
      </c>
      <c r="F31" s="63">
        <v>2</v>
      </c>
      <c r="G31" s="49">
        <v>33</v>
      </c>
      <c r="H31" s="49" t="s">
        <v>215</v>
      </c>
      <c r="I31" s="48" t="s">
        <v>130</v>
      </c>
      <c r="J31" s="63">
        <v>2</v>
      </c>
      <c r="K31" s="49">
        <v>0</v>
      </c>
      <c r="L31" s="49" t="s">
        <v>181</v>
      </c>
      <c r="M31" s="48">
        <v>0</v>
      </c>
      <c r="N31" s="63">
        <v>0</v>
      </c>
      <c r="O31" s="49">
        <v>19</v>
      </c>
      <c r="P31" s="49" t="s">
        <v>214</v>
      </c>
      <c r="Q31" s="48" t="s">
        <v>130</v>
      </c>
      <c r="R31" s="63">
        <v>2</v>
      </c>
      <c r="S31" s="49">
        <v>25</v>
      </c>
      <c r="T31" s="49" t="s">
        <v>213</v>
      </c>
      <c r="U31" s="48" t="s">
        <v>130</v>
      </c>
      <c r="V31" s="63">
        <v>2</v>
      </c>
      <c r="W31" s="83" t="s">
        <v>214</v>
      </c>
      <c r="X31" s="1" t="s">
        <v>130</v>
      </c>
      <c r="Y31" s="84">
        <v>2</v>
      </c>
      <c r="Z31" s="83">
        <v>47</v>
      </c>
      <c r="AA31" s="83" t="s">
        <v>320</v>
      </c>
      <c r="AB31" s="1" t="s">
        <v>130</v>
      </c>
      <c r="AC31" s="84">
        <v>2</v>
      </c>
      <c r="AD31" s="83">
        <v>4.3</v>
      </c>
      <c r="AE31" s="83" t="s">
        <v>321</v>
      </c>
      <c r="AF31" s="1" t="s">
        <v>130</v>
      </c>
      <c r="AG31" s="66">
        <v>0.1</v>
      </c>
      <c r="AH31" s="66">
        <v>0.3</v>
      </c>
      <c r="AI31" s="66">
        <v>4690</v>
      </c>
    </row>
    <row r="32" spans="1:35" x14ac:dyDescent="0.35">
      <c r="A32" s="70"/>
      <c r="B32" s="67" t="s">
        <v>212</v>
      </c>
      <c r="C32" s="69">
        <v>20</v>
      </c>
      <c r="D32" s="49" t="s">
        <v>211</v>
      </c>
      <c r="E32" s="48" t="s">
        <v>130</v>
      </c>
      <c r="F32" s="63">
        <v>2</v>
      </c>
      <c r="G32" s="49">
        <v>36</v>
      </c>
      <c r="H32" s="49" t="s">
        <v>210</v>
      </c>
      <c r="I32" s="48" t="s">
        <v>130</v>
      </c>
      <c r="J32" s="63">
        <v>3</v>
      </c>
      <c r="K32" s="49">
        <v>0</v>
      </c>
      <c r="L32" s="49" t="s">
        <v>181</v>
      </c>
      <c r="M32" s="48">
        <v>0</v>
      </c>
      <c r="N32" s="63">
        <v>0</v>
      </c>
      <c r="O32" s="49">
        <v>21</v>
      </c>
      <c r="P32" s="49" t="s">
        <v>193</v>
      </c>
      <c r="Q32" s="48" t="s">
        <v>130</v>
      </c>
      <c r="R32" s="63">
        <v>2</v>
      </c>
      <c r="S32" s="49">
        <v>27</v>
      </c>
      <c r="T32" s="49" t="s">
        <v>137</v>
      </c>
      <c r="U32" s="48" t="s">
        <v>130</v>
      </c>
      <c r="V32" s="63">
        <v>2</v>
      </c>
      <c r="W32" s="83" t="s">
        <v>308</v>
      </c>
      <c r="X32" s="1" t="s">
        <v>130</v>
      </c>
      <c r="Y32" s="84">
        <v>2</v>
      </c>
      <c r="Z32" s="83">
        <v>47</v>
      </c>
      <c r="AA32" s="83" t="s">
        <v>320</v>
      </c>
      <c r="AB32" s="1" t="s">
        <v>130</v>
      </c>
      <c r="AC32" s="84">
        <v>3</v>
      </c>
      <c r="AD32" s="83">
        <v>4.3</v>
      </c>
      <c r="AE32" s="83" t="s">
        <v>321</v>
      </c>
      <c r="AF32" s="1" t="s">
        <v>130</v>
      </c>
      <c r="AG32" s="66">
        <v>0.1</v>
      </c>
      <c r="AH32" s="66">
        <v>0.7</v>
      </c>
      <c r="AI32" s="66">
        <v>30</v>
      </c>
    </row>
    <row r="33" spans="1:35" x14ac:dyDescent="0.35">
      <c r="A33" s="70"/>
      <c r="B33" s="67" t="s">
        <v>209</v>
      </c>
      <c r="C33" s="69">
        <v>360</v>
      </c>
      <c r="D33" s="49" t="s">
        <v>208</v>
      </c>
      <c r="E33" s="48" t="s">
        <v>130</v>
      </c>
      <c r="F33" s="63">
        <v>2</v>
      </c>
      <c r="G33" s="49">
        <v>380</v>
      </c>
      <c r="H33" s="49" t="s">
        <v>207</v>
      </c>
      <c r="I33" s="48" t="s">
        <v>130</v>
      </c>
      <c r="J33" s="63">
        <v>2</v>
      </c>
      <c r="K33" s="49">
        <v>0</v>
      </c>
      <c r="L33" s="49" t="s">
        <v>181</v>
      </c>
      <c r="M33" s="48">
        <v>0</v>
      </c>
      <c r="N33" s="63">
        <v>0</v>
      </c>
      <c r="O33" s="49">
        <v>220</v>
      </c>
      <c r="P33" s="49" t="s">
        <v>206</v>
      </c>
      <c r="Q33" s="48" t="s">
        <v>130</v>
      </c>
      <c r="R33" s="63">
        <v>2</v>
      </c>
      <c r="S33" s="49">
        <v>120</v>
      </c>
      <c r="T33" s="49" t="s">
        <v>138</v>
      </c>
      <c r="U33" s="48" t="s">
        <v>130</v>
      </c>
      <c r="V33" s="63">
        <v>2</v>
      </c>
      <c r="W33" s="83" t="s">
        <v>137</v>
      </c>
      <c r="X33" s="1" t="s">
        <v>130</v>
      </c>
      <c r="Y33" s="84">
        <v>2</v>
      </c>
      <c r="Z33" s="83">
        <v>50</v>
      </c>
      <c r="AA33" s="83" t="s">
        <v>224</v>
      </c>
      <c r="AB33" s="1" t="s">
        <v>130</v>
      </c>
      <c r="AC33" s="84">
        <v>2</v>
      </c>
      <c r="AD33" s="83">
        <v>10</v>
      </c>
      <c r="AE33" s="83" t="s">
        <v>316</v>
      </c>
      <c r="AF33" s="1" t="s">
        <v>130</v>
      </c>
      <c r="AG33" s="66">
        <v>0.1</v>
      </c>
      <c r="AH33" s="66">
        <v>2.4</v>
      </c>
      <c r="AI33" s="66">
        <v>4690</v>
      </c>
    </row>
    <row r="34" spans="1:35" x14ac:dyDescent="0.35">
      <c r="A34" s="70"/>
      <c r="B34" s="67" t="s">
        <v>46</v>
      </c>
      <c r="C34" s="69">
        <v>240</v>
      </c>
      <c r="D34" s="49" t="s">
        <v>205</v>
      </c>
      <c r="E34" s="48" t="s">
        <v>130</v>
      </c>
      <c r="F34" s="63">
        <v>2</v>
      </c>
      <c r="G34" s="49">
        <v>520</v>
      </c>
      <c r="H34" s="49" t="s">
        <v>204</v>
      </c>
      <c r="I34" s="48" t="s">
        <v>130</v>
      </c>
      <c r="J34" s="63">
        <v>2</v>
      </c>
      <c r="K34" s="49">
        <v>0</v>
      </c>
      <c r="L34" s="49" t="s">
        <v>181</v>
      </c>
      <c r="M34" s="48">
        <v>0</v>
      </c>
      <c r="N34" s="63">
        <v>0</v>
      </c>
      <c r="O34" s="49">
        <v>290</v>
      </c>
      <c r="P34" s="49" t="s">
        <v>203</v>
      </c>
      <c r="Q34" s="48" t="s">
        <v>130</v>
      </c>
      <c r="R34" s="63">
        <v>2</v>
      </c>
      <c r="S34" s="49">
        <v>190</v>
      </c>
      <c r="T34" s="49" t="s">
        <v>195</v>
      </c>
      <c r="U34" s="48" t="s">
        <v>130</v>
      </c>
      <c r="V34" s="63">
        <v>2</v>
      </c>
      <c r="W34" s="83" t="s">
        <v>151</v>
      </c>
      <c r="X34" s="1" t="s">
        <v>130</v>
      </c>
      <c r="Y34" s="84">
        <v>2</v>
      </c>
      <c r="Z34" s="83">
        <v>15</v>
      </c>
      <c r="AA34" s="83" t="s">
        <v>322</v>
      </c>
      <c r="AB34" s="1" t="s">
        <v>130</v>
      </c>
      <c r="AC34" s="84">
        <v>2</v>
      </c>
      <c r="AD34" s="83">
        <v>6.6</v>
      </c>
      <c r="AE34" s="83" t="s">
        <v>323</v>
      </c>
      <c r="AF34" s="1" t="s">
        <v>130</v>
      </c>
      <c r="AG34" s="66">
        <v>0.1</v>
      </c>
      <c r="AH34" s="66">
        <v>9.5</v>
      </c>
      <c r="AI34" s="66">
        <v>4690</v>
      </c>
    </row>
    <row r="35" spans="1:35" x14ac:dyDescent="0.35">
      <c r="A35" s="70"/>
      <c r="B35" s="67" t="s">
        <v>202</v>
      </c>
      <c r="C35" s="69">
        <v>7.1</v>
      </c>
      <c r="D35" s="49" t="s">
        <v>201</v>
      </c>
      <c r="E35" s="48" t="s">
        <v>130</v>
      </c>
      <c r="F35" s="63">
        <v>3</v>
      </c>
      <c r="G35" s="49">
        <v>9.4</v>
      </c>
      <c r="H35" s="49" t="s">
        <v>200</v>
      </c>
      <c r="I35" s="48" t="s">
        <v>130</v>
      </c>
      <c r="J35" s="63">
        <v>3</v>
      </c>
      <c r="K35" s="49">
        <v>0</v>
      </c>
      <c r="L35" s="49" t="s">
        <v>181</v>
      </c>
      <c r="M35" s="48">
        <v>0</v>
      </c>
      <c r="N35" s="63">
        <v>0</v>
      </c>
      <c r="O35" s="49">
        <v>5.4</v>
      </c>
      <c r="P35" s="49" t="s">
        <v>199</v>
      </c>
      <c r="Q35" s="48" t="s">
        <v>130</v>
      </c>
      <c r="R35" s="63">
        <v>3</v>
      </c>
      <c r="S35" s="49">
        <v>6.3</v>
      </c>
      <c r="T35" s="49" t="s">
        <v>198</v>
      </c>
      <c r="U35" s="48" t="s">
        <v>130</v>
      </c>
      <c r="V35" s="63">
        <v>3</v>
      </c>
      <c r="W35" s="83" t="s">
        <v>324</v>
      </c>
      <c r="X35" s="1" t="s">
        <v>130</v>
      </c>
      <c r="Y35" s="84">
        <v>3</v>
      </c>
      <c r="Z35" s="83">
        <v>15</v>
      </c>
      <c r="AA35" s="83" t="s">
        <v>322</v>
      </c>
      <c r="AB35" s="1" t="s">
        <v>130</v>
      </c>
      <c r="AC35" s="84">
        <v>3</v>
      </c>
      <c r="AD35" s="83">
        <v>1.1000000000000001</v>
      </c>
      <c r="AE35" s="83" t="s">
        <v>325</v>
      </c>
      <c r="AF35" s="1" t="s">
        <v>130</v>
      </c>
      <c r="AG35" s="66">
        <v>0.1</v>
      </c>
      <c r="AH35" s="66">
        <v>0.3</v>
      </c>
      <c r="AI35" s="66">
        <v>3.6</v>
      </c>
    </row>
    <row r="36" spans="1:35" x14ac:dyDescent="0.35">
      <c r="A36" s="70"/>
      <c r="B36" s="67" t="s">
        <v>44</v>
      </c>
      <c r="C36" s="69">
        <v>130</v>
      </c>
      <c r="D36" s="49" t="s">
        <v>197</v>
      </c>
      <c r="E36" s="48" t="s">
        <v>130</v>
      </c>
      <c r="F36" s="63">
        <v>2</v>
      </c>
      <c r="G36" s="49">
        <v>450</v>
      </c>
      <c r="H36" s="49" t="s">
        <v>150</v>
      </c>
      <c r="I36" s="48" t="s">
        <v>130</v>
      </c>
      <c r="J36" s="63">
        <v>3</v>
      </c>
      <c r="K36" s="49">
        <v>0</v>
      </c>
      <c r="L36" s="49" t="s">
        <v>181</v>
      </c>
      <c r="M36" s="48">
        <v>0</v>
      </c>
      <c r="N36" s="63">
        <v>0</v>
      </c>
      <c r="O36" s="49">
        <v>270</v>
      </c>
      <c r="P36" s="49" t="s">
        <v>196</v>
      </c>
      <c r="Q36" s="48" t="s">
        <v>130</v>
      </c>
      <c r="R36" s="63">
        <v>3</v>
      </c>
      <c r="S36" s="49">
        <v>190</v>
      </c>
      <c r="T36" s="49" t="s">
        <v>195</v>
      </c>
      <c r="U36" s="48" t="s">
        <v>130</v>
      </c>
      <c r="V36" s="63">
        <v>3</v>
      </c>
      <c r="W36" s="83" t="s">
        <v>326</v>
      </c>
      <c r="X36" s="1" t="s">
        <v>130</v>
      </c>
      <c r="Y36" s="84">
        <v>2</v>
      </c>
      <c r="Z36" s="83">
        <v>13</v>
      </c>
      <c r="AA36" s="83" t="s">
        <v>254</v>
      </c>
      <c r="AB36" s="1" t="s">
        <v>130</v>
      </c>
      <c r="AC36" s="84">
        <v>2</v>
      </c>
      <c r="AD36" s="83">
        <v>6.4</v>
      </c>
      <c r="AE36" s="83" t="s">
        <v>327</v>
      </c>
      <c r="AF36" s="1" t="s">
        <v>130</v>
      </c>
      <c r="AG36" s="66">
        <v>0.2</v>
      </c>
      <c r="AH36" s="66">
        <v>3.1</v>
      </c>
      <c r="AI36" s="66">
        <v>134.4</v>
      </c>
    </row>
    <row r="37" spans="1:35" x14ac:dyDescent="0.35">
      <c r="A37" s="70"/>
      <c r="B37" s="67" t="s">
        <v>43</v>
      </c>
      <c r="C37" s="69">
        <v>9.6</v>
      </c>
      <c r="D37" s="49" t="s">
        <v>194</v>
      </c>
      <c r="E37" s="48" t="s">
        <v>130</v>
      </c>
      <c r="F37" s="63">
        <v>2</v>
      </c>
      <c r="G37" s="49">
        <v>21</v>
      </c>
      <c r="H37" s="49" t="s">
        <v>193</v>
      </c>
      <c r="I37" s="48" t="s">
        <v>130</v>
      </c>
      <c r="J37" s="63">
        <v>2</v>
      </c>
      <c r="K37" s="49">
        <v>0</v>
      </c>
      <c r="L37" s="49" t="s">
        <v>181</v>
      </c>
      <c r="M37" s="48">
        <v>0</v>
      </c>
      <c r="N37" s="63">
        <v>0</v>
      </c>
      <c r="O37" s="49">
        <v>29</v>
      </c>
      <c r="P37" s="49" t="s">
        <v>192</v>
      </c>
      <c r="Q37" s="48" t="s">
        <v>130</v>
      </c>
      <c r="R37" s="63">
        <v>2</v>
      </c>
      <c r="S37" s="49">
        <v>14</v>
      </c>
      <c r="T37" s="49" t="s">
        <v>191</v>
      </c>
      <c r="U37" s="48" t="s">
        <v>130</v>
      </c>
      <c r="V37" s="63">
        <v>2</v>
      </c>
      <c r="W37" s="83" t="s">
        <v>328</v>
      </c>
      <c r="X37" s="1" t="s">
        <v>130</v>
      </c>
      <c r="Y37" s="84">
        <v>2</v>
      </c>
      <c r="Z37" s="83">
        <v>8.1999999999999993</v>
      </c>
      <c r="AA37" s="83" t="s">
        <v>329</v>
      </c>
      <c r="AB37" s="1" t="s">
        <v>130</v>
      </c>
      <c r="AC37" s="84">
        <v>2</v>
      </c>
      <c r="AD37" s="83">
        <v>1.2</v>
      </c>
      <c r="AE37" s="83" t="s">
        <v>330</v>
      </c>
      <c r="AF37" s="1" t="s">
        <v>130</v>
      </c>
      <c r="AG37" s="66">
        <v>0.2</v>
      </c>
      <c r="AH37" s="66">
        <v>0.6</v>
      </c>
      <c r="AI37" s="66">
        <v>31.999999999999996</v>
      </c>
    </row>
    <row r="38" spans="1:35" x14ac:dyDescent="0.35">
      <c r="A38" s="70"/>
      <c r="B38" s="67" t="s">
        <v>33</v>
      </c>
      <c r="C38" s="69">
        <v>310</v>
      </c>
      <c r="D38" s="49" t="s">
        <v>190</v>
      </c>
      <c r="E38" s="48" t="s">
        <v>130</v>
      </c>
      <c r="F38" s="49">
        <v>2</v>
      </c>
      <c r="G38" s="49">
        <v>370</v>
      </c>
      <c r="H38" s="49" t="s">
        <v>189</v>
      </c>
      <c r="I38" s="48" t="s">
        <v>130</v>
      </c>
      <c r="J38" s="49">
        <v>2</v>
      </c>
      <c r="K38" s="49">
        <v>0</v>
      </c>
      <c r="L38" s="49" t="s">
        <v>181</v>
      </c>
      <c r="M38" s="48">
        <v>0</v>
      </c>
      <c r="N38" s="49">
        <v>0</v>
      </c>
      <c r="O38" s="49">
        <v>140</v>
      </c>
      <c r="P38" s="49" t="s">
        <v>188</v>
      </c>
      <c r="Q38" s="48" t="s">
        <v>130</v>
      </c>
      <c r="R38" s="49">
        <v>2</v>
      </c>
      <c r="S38" s="49">
        <v>120</v>
      </c>
      <c r="T38" s="49" t="s">
        <v>138</v>
      </c>
      <c r="U38" s="48" t="s">
        <v>130</v>
      </c>
      <c r="V38" s="63">
        <v>2</v>
      </c>
      <c r="W38" s="83" t="s">
        <v>331</v>
      </c>
      <c r="X38" s="1" t="s">
        <v>130</v>
      </c>
      <c r="Y38" s="83">
        <v>2</v>
      </c>
      <c r="Z38" s="83">
        <v>380</v>
      </c>
      <c r="AA38" s="83" t="s">
        <v>207</v>
      </c>
      <c r="AB38" s="1" t="s">
        <v>130</v>
      </c>
      <c r="AC38" s="83">
        <v>2</v>
      </c>
      <c r="AD38" s="83">
        <v>17</v>
      </c>
      <c r="AE38" s="83" t="s">
        <v>332</v>
      </c>
      <c r="AF38" s="1" t="s">
        <v>130</v>
      </c>
      <c r="AG38" s="66">
        <v>0.1</v>
      </c>
      <c r="AH38" s="66">
        <v>21</v>
      </c>
      <c r="AI38" s="66">
        <v>3150</v>
      </c>
    </row>
    <row r="39" spans="1:35" x14ac:dyDescent="0.35">
      <c r="A39" s="67"/>
      <c r="B39" s="67" t="s">
        <v>45</v>
      </c>
      <c r="C39" s="69"/>
      <c r="D39" s="49" t="s">
        <v>187</v>
      </c>
      <c r="E39" s="48" t="s">
        <v>130</v>
      </c>
      <c r="F39" s="49">
        <v>0</v>
      </c>
      <c r="G39" s="49">
        <v>4000</v>
      </c>
      <c r="H39" s="49" t="s">
        <v>186</v>
      </c>
      <c r="I39" s="48" t="s">
        <v>130</v>
      </c>
      <c r="J39" s="49">
        <v>0</v>
      </c>
      <c r="K39" s="49">
        <v>0</v>
      </c>
      <c r="L39" s="49" t="s">
        <v>181</v>
      </c>
      <c r="M39" s="48">
        <v>0</v>
      </c>
      <c r="N39" s="49">
        <v>0</v>
      </c>
      <c r="O39" s="49">
        <v>2600</v>
      </c>
      <c r="P39" s="49" t="s">
        <v>185</v>
      </c>
      <c r="Q39" s="48" t="s">
        <v>130</v>
      </c>
      <c r="R39" s="49">
        <v>0</v>
      </c>
      <c r="S39" s="49">
        <v>1900</v>
      </c>
      <c r="T39" s="49" t="s">
        <v>184</v>
      </c>
      <c r="U39" s="48" t="s">
        <v>130</v>
      </c>
      <c r="V39" s="63">
        <v>0</v>
      </c>
      <c r="W39" s="83" t="s">
        <v>207</v>
      </c>
      <c r="X39" s="1" t="s">
        <v>130</v>
      </c>
      <c r="Y39" s="83">
        <v>0</v>
      </c>
      <c r="Z39" s="83">
        <v>1900</v>
      </c>
      <c r="AA39" s="83" t="s">
        <v>184</v>
      </c>
      <c r="AB39" s="1" t="s">
        <v>130</v>
      </c>
      <c r="AC39" s="83">
        <v>0</v>
      </c>
      <c r="AD39" s="83">
        <v>130</v>
      </c>
      <c r="AE39" s="83" t="s">
        <v>197</v>
      </c>
      <c r="AF39" s="1" t="s">
        <v>130</v>
      </c>
      <c r="AG39" s="66" t="s">
        <v>129</v>
      </c>
      <c r="AH39" s="66" t="s">
        <v>129</v>
      </c>
      <c r="AI39" s="66" t="s">
        <v>129</v>
      </c>
    </row>
    <row r="40" spans="1:35" x14ac:dyDescent="0.35">
      <c r="B40" s="67" t="s">
        <v>183</v>
      </c>
      <c r="C40" s="46">
        <v>11</v>
      </c>
      <c r="D40" s="49" t="s">
        <v>162</v>
      </c>
      <c r="E40" s="48" t="s">
        <v>130</v>
      </c>
      <c r="F40" s="49">
        <v>0</v>
      </c>
      <c r="G40" s="49">
        <v>2200</v>
      </c>
      <c r="H40" s="49" t="s">
        <v>182</v>
      </c>
      <c r="I40" s="48" t="s">
        <v>130</v>
      </c>
      <c r="J40" s="49">
        <v>0</v>
      </c>
      <c r="K40" s="49">
        <v>0</v>
      </c>
      <c r="L40" s="49" t="s">
        <v>181</v>
      </c>
      <c r="M40" s="48">
        <v>0</v>
      </c>
      <c r="N40" s="49">
        <v>0</v>
      </c>
      <c r="O40" s="49">
        <v>1600</v>
      </c>
      <c r="P40" s="49" t="s">
        <v>180</v>
      </c>
      <c r="Q40" s="48" t="s">
        <v>130</v>
      </c>
      <c r="R40" s="49">
        <v>0</v>
      </c>
      <c r="S40" s="49">
        <v>1200</v>
      </c>
      <c r="T40" s="49" t="s">
        <v>168</v>
      </c>
      <c r="U40" s="48" t="s">
        <v>130</v>
      </c>
      <c r="V40" s="46">
        <v>0</v>
      </c>
      <c r="W40" s="83" t="s">
        <v>134</v>
      </c>
      <c r="X40" s="1" t="s">
        <v>130</v>
      </c>
      <c r="Y40" s="83">
        <v>0</v>
      </c>
      <c r="Z40" s="83">
        <v>1500</v>
      </c>
      <c r="AA40" s="83" t="s">
        <v>167</v>
      </c>
      <c r="AB40" s="1" t="s">
        <v>130</v>
      </c>
      <c r="AC40" s="83">
        <v>0</v>
      </c>
      <c r="AD40" s="83">
        <v>91</v>
      </c>
      <c r="AE40" s="83" t="s">
        <v>333</v>
      </c>
      <c r="AF40" s="1" t="s">
        <v>130</v>
      </c>
      <c r="AG40" s="66"/>
      <c r="AH40" s="66"/>
      <c r="AI40" s="65"/>
    </row>
    <row r="41" spans="1:35" x14ac:dyDescent="0.35">
      <c r="B41" s="67"/>
      <c r="C41" s="69" t="s">
        <v>129</v>
      </c>
      <c r="F41" s="63"/>
      <c r="G41" s="49" t="s">
        <v>129</v>
      </c>
      <c r="J41" s="63"/>
      <c r="K41" s="49" t="s">
        <v>129</v>
      </c>
      <c r="N41" s="63"/>
      <c r="O41" s="49" t="s">
        <v>129</v>
      </c>
      <c r="R41" s="63"/>
      <c r="S41" s="49" t="s">
        <v>129</v>
      </c>
      <c r="V41" s="63"/>
      <c r="Y41" s="84"/>
      <c r="Z41" s="83" t="s">
        <v>129</v>
      </c>
      <c r="AC41" s="84"/>
      <c r="AD41" s="83" t="s">
        <v>129</v>
      </c>
      <c r="AG41" s="66" t="s">
        <v>129</v>
      </c>
      <c r="AH41" s="66" t="s">
        <v>129</v>
      </c>
      <c r="AI41" s="66" t="s">
        <v>129</v>
      </c>
    </row>
    <row r="42" spans="1:35" x14ac:dyDescent="0.35">
      <c r="B42" s="67"/>
      <c r="C42" s="318" t="s">
        <v>179</v>
      </c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  <c r="V42" s="319"/>
      <c r="W42" s="320"/>
      <c r="X42" s="320"/>
      <c r="Y42" s="320"/>
      <c r="Z42" s="320"/>
      <c r="AA42" s="320"/>
      <c r="AB42" s="320"/>
      <c r="AC42" s="320"/>
      <c r="AD42" s="320"/>
      <c r="AE42" s="320"/>
      <c r="AF42" s="321"/>
      <c r="AG42" s="66" t="s">
        <v>129</v>
      </c>
      <c r="AH42" s="66" t="s">
        <v>129</v>
      </c>
      <c r="AI42" s="66" t="s">
        <v>129</v>
      </c>
    </row>
    <row r="43" spans="1:35" x14ac:dyDescent="0.35">
      <c r="B43" s="67" t="s">
        <v>178</v>
      </c>
      <c r="C43" s="69">
        <v>3300</v>
      </c>
      <c r="D43" s="49" t="s">
        <v>177</v>
      </c>
      <c r="E43" s="48" t="s">
        <v>130</v>
      </c>
      <c r="F43" s="49">
        <v>3</v>
      </c>
      <c r="G43" s="49">
        <v>13000</v>
      </c>
      <c r="H43" s="49" t="s">
        <v>176</v>
      </c>
      <c r="I43" s="48" t="s">
        <v>130</v>
      </c>
      <c r="J43" s="49">
        <v>3</v>
      </c>
      <c r="K43" s="49">
        <v>21000</v>
      </c>
      <c r="L43" s="49" t="s">
        <v>175</v>
      </c>
      <c r="M43" s="48" t="s">
        <v>130</v>
      </c>
      <c r="N43" s="49">
        <v>3</v>
      </c>
      <c r="O43" s="49">
        <v>7500</v>
      </c>
      <c r="P43" s="49" t="s">
        <v>174</v>
      </c>
      <c r="Q43" s="48" t="s">
        <v>130</v>
      </c>
      <c r="R43" s="49">
        <v>3</v>
      </c>
      <c r="S43" s="49">
        <v>4500</v>
      </c>
      <c r="T43" s="49" t="s">
        <v>173</v>
      </c>
      <c r="U43" s="48" t="s">
        <v>130</v>
      </c>
      <c r="V43" s="63">
        <v>3</v>
      </c>
      <c r="W43" s="83" t="s">
        <v>334</v>
      </c>
      <c r="X43" s="1" t="s">
        <v>130</v>
      </c>
      <c r="Y43" s="83">
        <v>3</v>
      </c>
      <c r="Z43" s="83">
        <v>960</v>
      </c>
      <c r="AA43" s="83" t="s">
        <v>335</v>
      </c>
      <c r="AB43" s="1" t="s">
        <v>130</v>
      </c>
      <c r="AC43" s="83">
        <v>3</v>
      </c>
      <c r="AD43" s="83">
        <v>370</v>
      </c>
      <c r="AE43" s="83" t="s">
        <v>189</v>
      </c>
      <c r="AF43" s="1" t="s">
        <v>130</v>
      </c>
      <c r="AG43" s="66">
        <v>50</v>
      </c>
      <c r="AH43" s="66">
        <v>300</v>
      </c>
      <c r="AI43" s="66">
        <v>750</v>
      </c>
    </row>
    <row r="44" spans="1:35" x14ac:dyDescent="0.35">
      <c r="B44" s="67" t="s">
        <v>91</v>
      </c>
      <c r="C44" s="69">
        <v>57</v>
      </c>
      <c r="D44" s="49" t="s">
        <v>172</v>
      </c>
      <c r="E44" s="48" t="s">
        <v>130</v>
      </c>
      <c r="F44" s="49">
        <v>0</v>
      </c>
      <c r="G44" s="49">
        <v>2900</v>
      </c>
      <c r="H44" s="49" t="s">
        <v>171</v>
      </c>
      <c r="I44" s="48" t="s">
        <v>130</v>
      </c>
      <c r="J44" s="49">
        <v>0</v>
      </c>
      <c r="K44" s="49">
        <v>2000</v>
      </c>
      <c r="L44" s="49" t="s">
        <v>170</v>
      </c>
      <c r="M44" s="48" t="s">
        <v>130</v>
      </c>
      <c r="N44" s="49">
        <v>0</v>
      </c>
      <c r="O44" s="49">
        <v>3000</v>
      </c>
      <c r="P44" s="49" t="s">
        <v>169</v>
      </c>
      <c r="Q44" s="48" t="s">
        <v>130</v>
      </c>
      <c r="R44" s="49">
        <v>0</v>
      </c>
      <c r="S44" s="49">
        <v>1200</v>
      </c>
      <c r="T44" s="49" t="s">
        <v>168</v>
      </c>
      <c r="U44" s="48" t="s">
        <v>130</v>
      </c>
      <c r="V44" s="63">
        <v>0</v>
      </c>
      <c r="W44" s="83" t="s">
        <v>336</v>
      </c>
      <c r="X44" s="1" t="s">
        <v>130</v>
      </c>
      <c r="Y44" s="83">
        <v>0</v>
      </c>
      <c r="Z44" s="83">
        <v>25</v>
      </c>
      <c r="AA44" s="83" t="s">
        <v>336</v>
      </c>
      <c r="AB44" s="1" t="s">
        <v>130</v>
      </c>
      <c r="AC44" s="83">
        <v>0</v>
      </c>
      <c r="AD44" s="83">
        <v>25</v>
      </c>
      <c r="AE44" s="83" t="s">
        <v>336</v>
      </c>
      <c r="AF44" s="1" t="s">
        <v>130</v>
      </c>
      <c r="AG44" s="66" t="s">
        <v>129</v>
      </c>
      <c r="AH44" s="66" t="s">
        <v>129</v>
      </c>
      <c r="AI44" s="66" t="s">
        <v>129</v>
      </c>
    </row>
    <row r="45" spans="1:35" x14ac:dyDescent="0.35">
      <c r="B45" s="67" t="s">
        <v>92</v>
      </c>
      <c r="C45" s="69">
        <v>1500</v>
      </c>
      <c r="D45" s="49" t="s">
        <v>167</v>
      </c>
      <c r="E45" s="48" t="s">
        <v>130</v>
      </c>
      <c r="F45" s="49">
        <v>0</v>
      </c>
      <c r="G45" s="49">
        <v>7600</v>
      </c>
      <c r="H45" s="49" t="s">
        <v>166</v>
      </c>
      <c r="I45" s="48" t="s">
        <v>130</v>
      </c>
      <c r="J45" s="49">
        <v>0</v>
      </c>
      <c r="K45" s="49">
        <v>11000</v>
      </c>
      <c r="L45" s="49" t="s">
        <v>165</v>
      </c>
      <c r="M45" s="48" t="s">
        <v>130</v>
      </c>
      <c r="N45" s="49">
        <v>0</v>
      </c>
      <c r="O45" s="49">
        <v>3800</v>
      </c>
      <c r="P45" s="49" t="s">
        <v>164</v>
      </c>
      <c r="Q45" s="48" t="s">
        <v>130</v>
      </c>
      <c r="R45" s="49">
        <v>0</v>
      </c>
      <c r="S45" s="49">
        <v>2200</v>
      </c>
      <c r="T45" s="49" t="s">
        <v>163</v>
      </c>
      <c r="U45" s="48" t="s">
        <v>130</v>
      </c>
      <c r="V45" s="63">
        <v>0</v>
      </c>
      <c r="W45" s="83" t="s">
        <v>134</v>
      </c>
      <c r="X45" s="1" t="s">
        <v>130</v>
      </c>
      <c r="Y45" s="83">
        <v>0</v>
      </c>
      <c r="Z45" s="83">
        <v>330</v>
      </c>
      <c r="AA45" s="83" t="s">
        <v>234</v>
      </c>
      <c r="AB45" s="1" t="s">
        <v>130</v>
      </c>
      <c r="AC45" s="83">
        <v>0</v>
      </c>
      <c r="AD45" s="83">
        <v>190</v>
      </c>
      <c r="AE45" s="83" t="s">
        <v>195</v>
      </c>
      <c r="AF45" s="1" t="s">
        <v>130</v>
      </c>
      <c r="AG45" s="66" t="s">
        <v>129</v>
      </c>
      <c r="AH45" s="66" t="s">
        <v>129</v>
      </c>
      <c r="AI45" s="66" t="s">
        <v>129</v>
      </c>
    </row>
    <row r="46" spans="1:35" x14ac:dyDescent="0.35">
      <c r="B46" s="67" t="s">
        <v>93</v>
      </c>
      <c r="C46" s="69">
        <v>1300</v>
      </c>
      <c r="D46" s="49" t="s">
        <v>162</v>
      </c>
      <c r="E46" s="48" t="s">
        <v>130</v>
      </c>
      <c r="F46" s="49">
        <v>0</v>
      </c>
      <c r="G46" s="49">
        <v>2300</v>
      </c>
      <c r="H46" s="49" t="s">
        <v>161</v>
      </c>
      <c r="I46" s="48" t="s">
        <v>130</v>
      </c>
      <c r="J46" s="49">
        <v>0</v>
      </c>
      <c r="K46" s="49">
        <v>6900</v>
      </c>
      <c r="L46" s="49" t="s">
        <v>160</v>
      </c>
      <c r="M46" s="48" t="s">
        <v>130</v>
      </c>
      <c r="N46" s="49">
        <v>0</v>
      </c>
      <c r="O46" s="49">
        <v>480</v>
      </c>
      <c r="P46" s="49" t="s">
        <v>159</v>
      </c>
      <c r="Q46" s="48" t="s">
        <v>130</v>
      </c>
      <c r="R46" s="49">
        <v>0</v>
      </c>
      <c r="S46" s="49">
        <v>820</v>
      </c>
      <c r="T46" s="49" t="s">
        <v>158</v>
      </c>
      <c r="U46" s="48" t="s">
        <v>130</v>
      </c>
      <c r="V46" s="63">
        <v>0</v>
      </c>
      <c r="W46" s="83" t="s">
        <v>337</v>
      </c>
      <c r="X46" s="1" t="s">
        <v>130</v>
      </c>
      <c r="Y46" s="83">
        <v>0</v>
      </c>
      <c r="Z46" s="83">
        <v>560</v>
      </c>
      <c r="AA46" s="83" t="s">
        <v>338</v>
      </c>
      <c r="AB46" s="1" t="s">
        <v>130</v>
      </c>
      <c r="AC46" s="83">
        <v>0</v>
      </c>
      <c r="AD46" s="83">
        <v>140</v>
      </c>
      <c r="AE46" s="83" t="s">
        <v>188</v>
      </c>
      <c r="AF46" s="1" t="s">
        <v>130</v>
      </c>
      <c r="AG46" s="66" t="s">
        <v>129</v>
      </c>
      <c r="AH46" s="66" t="s">
        <v>129</v>
      </c>
      <c r="AI46" s="66" t="s">
        <v>129</v>
      </c>
    </row>
    <row r="47" spans="1:35" x14ac:dyDescent="0.35">
      <c r="B47" s="67" t="s">
        <v>94</v>
      </c>
      <c r="C47" s="69">
        <v>410</v>
      </c>
      <c r="D47" s="49" t="s">
        <v>157</v>
      </c>
      <c r="E47" s="48" t="s">
        <v>130</v>
      </c>
      <c r="F47" s="49">
        <v>0</v>
      </c>
      <c r="G47" s="49">
        <v>320</v>
      </c>
      <c r="H47" s="49" t="s">
        <v>156</v>
      </c>
      <c r="I47" s="48" t="s">
        <v>130</v>
      </c>
      <c r="J47" s="49">
        <v>0</v>
      </c>
      <c r="K47" s="49">
        <v>840</v>
      </c>
      <c r="L47" s="49" t="s">
        <v>155</v>
      </c>
      <c r="M47" s="48" t="s">
        <v>130</v>
      </c>
      <c r="N47" s="49">
        <v>0</v>
      </c>
      <c r="O47" s="49">
        <v>56</v>
      </c>
      <c r="P47" s="49" t="s">
        <v>154</v>
      </c>
      <c r="Q47" s="48" t="s">
        <v>130</v>
      </c>
      <c r="R47" s="49">
        <v>0</v>
      </c>
      <c r="S47" s="49">
        <v>170</v>
      </c>
      <c r="T47" s="49" t="s">
        <v>153</v>
      </c>
      <c r="U47" s="48" t="s">
        <v>130</v>
      </c>
      <c r="V47" s="63">
        <v>0</v>
      </c>
      <c r="W47" s="83" t="s">
        <v>309</v>
      </c>
      <c r="X47" s="1" t="s">
        <v>130</v>
      </c>
      <c r="Y47" s="83">
        <v>0</v>
      </c>
      <c r="Z47" s="83">
        <v>50</v>
      </c>
      <c r="AA47" s="83" t="s">
        <v>224</v>
      </c>
      <c r="AB47" s="1" t="s">
        <v>130</v>
      </c>
      <c r="AC47" s="83">
        <v>0</v>
      </c>
      <c r="AD47" s="83">
        <v>41</v>
      </c>
      <c r="AE47" s="83" t="s">
        <v>339</v>
      </c>
      <c r="AF47" s="1" t="s">
        <v>130</v>
      </c>
      <c r="AG47" s="66" t="s">
        <v>129</v>
      </c>
      <c r="AH47" s="66" t="s">
        <v>129</v>
      </c>
      <c r="AI47" s="66" t="s">
        <v>129</v>
      </c>
    </row>
    <row r="48" spans="1:35" x14ac:dyDescent="0.35">
      <c r="B48" s="67"/>
      <c r="C48" s="49"/>
      <c r="F48" s="63"/>
      <c r="G48" s="49"/>
      <c r="J48" s="63"/>
      <c r="K48" s="49"/>
      <c r="N48" s="63"/>
      <c r="O48" s="49"/>
      <c r="R48" s="63"/>
      <c r="S48" s="49"/>
      <c r="V48" s="63"/>
      <c r="Y48" s="84"/>
      <c r="Z48" s="83"/>
      <c r="AC48" s="84"/>
      <c r="AD48" s="83"/>
      <c r="AG48" s="66"/>
      <c r="AH48" s="66"/>
      <c r="AI48" s="65"/>
    </row>
    <row r="49" spans="1:35" x14ac:dyDescent="0.35">
      <c r="B49" s="67"/>
      <c r="C49" s="318" t="s">
        <v>344</v>
      </c>
      <c r="D49" s="319"/>
      <c r="E49" s="319"/>
      <c r="F49" s="319"/>
      <c r="G49" s="319"/>
      <c r="H49" s="319"/>
      <c r="I49" s="319"/>
      <c r="J49" s="319"/>
      <c r="K49" s="319"/>
      <c r="L49" s="319"/>
      <c r="M49" s="319"/>
      <c r="N49" s="319"/>
      <c r="O49" s="319"/>
      <c r="P49" s="319"/>
      <c r="Q49" s="319"/>
      <c r="R49" s="319"/>
      <c r="S49" s="319"/>
      <c r="T49" s="319"/>
      <c r="U49" s="319"/>
      <c r="V49" s="319"/>
      <c r="W49" s="320"/>
      <c r="X49" s="320"/>
      <c r="Y49" s="320"/>
      <c r="Z49" s="320"/>
      <c r="AA49" s="320"/>
      <c r="AB49" s="320"/>
      <c r="AC49" s="320"/>
      <c r="AD49" s="320"/>
      <c r="AE49" s="320"/>
      <c r="AF49" s="321"/>
      <c r="AG49" s="66"/>
      <c r="AH49" s="66"/>
      <c r="AI49" s="65"/>
    </row>
    <row r="50" spans="1:35" x14ac:dyDescent="0.35">
      <c r="B50" s="67" t="s">
        <v>152</v>
      </c>
      <c r="C50" s="46">
        <v>11</v>
      </c>
      <c r="D50" s="49" t="s">
        <v>151</v>
      </c>
      <c r="E50" s="48" t="s">
        <v>130</v>
      </c>
      <c r="F50" s="46">
        <v>0</v>
      </c>
      <c r="G50" s="46">
        <v>450</v>
      </c>
      <c r="H50" s="49" t="s">
        <v>150</v>
      </c>
      <c r="I50" s="48" t="s">
        <v>130</v>
      </c>
      <c r="J50" s="46">
        <v>0</v>
      </c>
      <c r="K50" s="46">
        <v>720</v>
      </c>
      <c r="L50" s="49" t="s">
        <v>149</v>
      </c>
      <c r="M50" s="48" t="s">
        <v>130</v>
      </c>
      <c r="N50" s="46">
        <v>0</v>
      </c>
      <c r="O50" s="46">
        <v>460</v>
      </c>
      <c r="P50" s="49" t="s">
        <v>148</v>
      </c>
      <c r="Q50" s="48" t="s">
        <v>130</v>
      </c>
      <c r="R50" s="46">
        <v>0</v>
      </c>
      <c r="S50" s="46">
        <v>71</v>
      </c>
      <c r="T50" s="49" t="s">
        <v>147</v>
      </c>
      <c r="U50" s="48" t="s">
        <v>130</v>
      </c>
      <c r="V50" s="46">
        <v>0</v>
      </c>
      <c r="W50" s="83" t="s">
        <v>340</v>
      </c>
      <c r="X50" s="1" t="s">
        <v>130</v>
      </c>
      <c r="Y50">
        <v>0</v>
      </c>
      <c r="Z50">
        <v>6.7</v>
      </c>
      <c r="AA50" s="83" t="s">
        <v>340</v>
      </c>
      <c r="AB50" s="1" t="s">
        <v>130</v>
      </c>
      <c r="AC50">
        <v>0</v>
      </c>
      <c r="AD50">
        <v>6.7</v>
      </c>
      <c r="AE50" s="83" t="s">
        <v>340</v>
      </c>
      <c r="AF50" s="1" t="s">
        <v>130</v>
      </c>
      <c r="AG50" s="66"/>
      <c r="AH50" s="66"/>
      <c r="AI50" s="65"/>
    </row>
    <row r="51" spans="1:35" x14ac:dyDescent="0.35">
      <c r="B51" s="67" t="s">
        <v>146</v>
      </c>
      <c r="C51" s="46">
        <v>4.0999999999999996</v>
      </c>
      <c r="D51" s="49" t="s">
        <v>145</v>
      </c>
      <c r="E51" s="48" t="s">
        <v>130</v>
      </c>
      <c r="F51" s="46">
        <v>0</v>
      </c>
      <c r="G51" s="46">
        <v>160</v>
      </c>
      <c r="H51" s="49" t="s">
        <v>140</v>
      </c>
      <c r="I51" s="48" t="s">
        <v>130</v>
      </c>
      <c r="J51" s="46">
        <v>0</v>
      </c>
      <c r="K51" s="46">
        <v>60</v>
      </c>
      <c r="L51" s="49" t="s">
        <v>139</v>
      </c>
      <c r="M51" s="48" t="s">
        <v>130</v>
      </c>
      <c r="N51" s="46">
        <v>0</v>
      </c>
      <c r="O51" s="46">
        <v>120</v>
      </c>
      <c r="P51" s="49" t="s">
        <v>138</v>
      </c>
      <c r="Q51" s="48" t="s">
        <v>130</v>
      </c>
      <c r="R51" s="46">
        <v>0</v>
      </c>
      <c r="S51" s="46">
        <v>27</v>
      </c>
      <c r="T51" s="49" t="s">
        <v>137</v>
      </c>
      <c r="U51" s="48" t="s">
        <v>130</v>
      </c>
      <c r="V51" s="46">
        <v>0</v>
      </c>
      <c r="W51" s="83" t="s">
        <v>145</v>
      </c>
      <c r="X51" s="1" t="s">
        <v>130</v>
      </c>
      <c r="Y51">
        <v>0</v>
      </c>
      <c r="Z51">
        <v>4.0999999999999996</v>
      </c>
      <c r="AA51" s="83" t="s">
        <v>145</v>
      </c>
      <c r="AB51" s="1" t="s">
        <v>130</v>
      </c>
      <c r="AC51">
        <v>0</v>
      </c>
      <c r="AD51">
        <v>4.0999999999999996</v>
      </c>
      <c r="AE51" s="83" t="s">
        <v>145</v>
      </c>
      <c r="AF51" s="1" t="s">
        <v>130</v>
      </c>
      <c r="AG51" s="66"/>
      <c r="AH51" s="66"/>
      <c r="AI51" s="65"/>
    </row>
    <row r="52" spans="1:35" s="68" customFormat="1" x14ac:dyDescent="0.35">
      <c r="A52" s="46"/>
      <c r="B52" s="67" t="s">
        <v>144</v>
      </c>
      <c r="C52" s="46">
        <v>2</v>
      </c>
      <c r="D52" s="49" t="s">
        <v>143</v>
      </c>
      <c r="E52" s="48" t="s">
        <v>130</v>
      </c>
      <c r="F52" s="46">
        <v>0</v>
      </c>
      <c r="G52" s="46">
        <v>2</v>
      </c>
      <c r="H52" s="49" t="s">
        <v>143</v>
      </c>
      <c r="I52" s="48" t="s">
        <v>130</v>
      </c>
      <c r="J52" s="46">
        <v>0</v>
      </c>
      <c r="K52" s="46">
        <v>2</v>
      </c>
      <c r="L52" s="49" t="s">
        <v>143</v>
      </c>
      <c r="M52" s="48" t="s">
        <v>130</v>
      </c>
      <c r="N52" s="46">
        <v>0</v>
      </c>
      <c r="O52" s="46">
        <v>2</v>
      </c>
      <c r="P52" s="49" t="s">
        <v>143</v>
      </c>
      <c r="Q52" s="48" t="s">
        <v>130</v>
      </c>
      <c r="R52" s="46">
        <v>0</v>
      </c>
      <c r="S52" s="46">
        <v>2</v>
      </c>
      <c r="T52" s="49" t="s">
        <v>143</v>
      </c>
      <c r="U52" s="48" t="s">
        <v>130</v>
      </c>
      <c r="V52" s="46">
        <v>0</v>
      </c>
      <c r="W52" s="83" t="s">
        <v>143</v>
      </c>
      <c r="X52" s="1" t="s">
        <v>130</v>
      </c>
      <c r="Y52">
        <v>0</v>
      </c>
      <c r="Z52">
        <v>2</v>
      </c>
      <c r="AA52" s="83" t="s">
        <v>143</v>
      </c>
      <c r="AB52" s="1" t="s">
        <v>130</v>
      </c>
      <c r="AC52">
        <v>0</v>
      </c>
      <c r="AD52">
        <v>2</v>
      </c>
      <c r="AE52" s="83" t="s">
        <v>143</v>
      </c>
      <c r="AF52" s="1" t="s">
        <v>130</v>
      </c>
      <c r="AG52" s="66"/>
      <c r="AH52" s="66"/>
      <c r="AI52" s="65"/>
    </row>
    <row r="53" spans="1:35" x14ac:dyDescent="0.35">
      <c r="B53" s="67" t="s">
        <v>142</v>
      </c>
      <c r="C53" s="46">
        <v>0</v>
      </c>
      <c r="D53" s="49" t="s">
        <v>141</v>
      </c>
      <c r="E53" s="48" t="s">
        <v>130</v>
      </c>
      <c r="F53" s="49">
        <v>0</v>
      </c>
      <c r="G53" s="49">
        <v>160</v>
      </c>
      <c r="H53" s="49" t="s">
        <v>140</v>
      </c>
      <c r="I53" s="48" t="s">
        <v>130</v>
      </c>
      <c r="J53" s="49">
        <v>0</v>
      </c>
      <c r="K53" s="49">
        <v>60</v>
      </c>
      <c r="L53" s="49" t="s">
        <v>139</v>
      </c>
      <c r="M53" s="48" t="s">
        <v>130</v>
      </c>
      <c r="N53" s="49">
        <v>0</v>
      </c>
      <c r="O53" s="49">
        <v>120</v>
      </c>
      <c r="P53" s="49" t="s">
        <v>138</v>
      </c>
      <c r="Q53" s="48" t="s">
        <v>130</v>
      </c>
      <c r="R53" s="49">
        <v>0</v>
      </c>
      <c r="S53" s="49">
        <v>27</v>
      </c>
      <c r="T53" s="49" t="s">
        <v>137</v>
      </c>
      <c r="U53" s="48" t="s">
        <v>130</v>
      </c>
      <c r="V53" s="46">
        <v>0</v>
      </c>
      <c r="W53" s="83" t="s">
        <v>141</v>
      </c>
      <c r="X53" s="1" t="s">
        <v>130</v>
      </c>
      <c r="Y53" s="83">
        <v>0</v>
      </c>
      <c r="Z53" s="83">
        <v>2.1</v>
      </c>
      <c r="AA53" s="83" t="s">
        <v>141</v>
      </c>
      <c r="AB53" s="1" t="s">
        <v>130</v>
      </c>
      <c r="AC53" s="83">
        <v>0</v>
      </c>
      <c r="AD53" s="83">
        <v>2.1</v>
      </c>
      <c r="AE53" s="83" t="s">
        <v>141</v>
      </c>
      <c r="AF53" s="1" t="s">
        <v>130</v>
      </c>
      <c r="AG53" s="66"/>
      <c r="AH53" s="66"/>
      <c r="AI53" s="65"/>
    </row>
    <row r="54" spans="1:35" x14ac:dyDescent="0.35">
      <c r="B54" s="67" t="s">
        <v>136</v>
      </c>
      <c r="C54" s="46">
        <v>5</v>
      </c>
      <c r="D54" s="49" t="s">
        <v>135</v>
      </c>
      <c r="E54" s="48" t="s">
        <v>130</v>
      </c>
      <c r="F54" s="49">
        <v>0</v>
      </c>
      <c r="G54" s="49">
        <v>280</v>
      </c>
      <c r="H54" s="49" t="s">
        <v>134</v>
      </c>
      <c r="I54" s="48" t="s">
        <v>130</v>
      </c>
      <c r="J54" s="49">
        <v>0</v>
      </c>
      <c r="K54" s="49">
        <v>660</v>
      </c>
      <c r="L54" s="49" t="s">
        <v>133</v>
      </c>
      <c r="M54" s="48" t="s">
        <v>130</v>
      </c>
      <c r="N54" s="49">
        <v>0</v>
      </c>
      <c r="O54" s="49">
        <v>340</v>
      </c>
      <c r="P54" s="49" t="s">
        <v>132</v>
      </c>
      <c r="Q54" s="48" t="s">
        <v>130</v>
      </c>
      <c r="R54" s="49">
        <v>0</v>
      </c>
      <c r="S54" s="49">
        <v>44</v>
      </c>
      <c r="T54" s="49" t="s">
        <v>131</v>
      </c>
      <c r="U54" s="48" t="s">
        <v>130</v>
      </c>
      <c r="V54" s="46">
        <v>0</v>
      </c>
      <c r="W54" s="83" t="s">
        <v>341</v>
      </c>
      <c r="X54" s="1" t="s">
        <v>130</v>
      </c>
      <c r="Y54" s="83">
        <v>0</v>
      </c>
      <c r="Z54" s="83">
        <v>2.6</v>
      </c>
      <c r="AA54" s="83" t="s">
        <v>341</v>
      </c>
      <c r="AB54" s="1" t="s">
        <v>130</v>
      </c>
      <c r="AC54" s="83">
        <v>0</v>
      </c>
      <c r="AD54" s="83">
        <v>2.6</v>
      </c>
      <c r="AE54" s="83" t="s">
        <v>341</v>
      </c>
      <c r="AF54" s="1" t="s">
        <v>130</v>
      </c>
      <c r="AG54" s="66"/>
      <c r="AH54" s="66"/>
      <c r="AI54" s="65"/>
    </row>
    <row r="55" spans="1:35" x14ac:dyDescent="0.35">
      <c r="B55" s="64"/>
      <c r="C55" s="49"/>
      <c r="F55" s="63"/>
      <c r="G55" s="49"/>
      <c r="J55" s="63"/>
      <c r="K55" s="49"/>
      <c r="N55" s="63"/>
      <c r="O55" s="49"/>
      <c r="R55" s="63"/>
      <c r="S55" s="49"/>
      <c r="V55" s="63"/>
      <c r="W55" s="83" t="s">
        <v>129</v>
      </c>
      <c r="X55" s="1" t="s">
        <v>129</v>
      </c>
      <c r="Y55" s="83" t="s">
        <v>129</v>
      </c>
      <c r="Z55" s="83" t="s">
        <v>129</v>
      </c>
      <c r="AA55" s="83" t="s">
        <v>129</v>
      </c>
      <c r="AB55" s="1" t="s">
        <v>129</v>
      </c>
      <c r="AC55" s="83" t="s">
        <v>129</v>
      </c>
      <c r="AD55" s="83" t="s">
        <v>129</v>
      </c>
      <c r="AE55" s="83" t="s">
        <v>129</v>
      </c>
      <c r="AF55" s="1" t="s">
        <v>129</v>
      </c>
      <c r="AG55" s="62"/>
      <c r="AH55" s="62"/>
      <c r="AI55" s="61"/>
    </row>
    <row r="56" spans="1:35" x14ac:dyDescent="0.35">
      <c r="A56" s="56"/>
      <c r="B56" s="55" t="s">
        <v>546</v>
      </c>
      <c r="C56" s="59" t="s">
        <v>129</v>
      </c>
      <c r="D56" s="92" t="s">
        <v>129</v>
      </c>
      <c r="E56" s="53" t="s">
        <v>129</v>
      </c>
      <c r="F56" s="53" t="s">
        <v>129</v>
      </c>
      <c r="G56" s="53" t="s">
        <v>129</v>
      </c>
      <c r="H56" s="53" t="s">
        <v>129</v>
      </c>
      <c r="I56" s="53" t="s">
        <v>129</v>
      </c>
      <c r="J56" s="53" t="s">
        <v>129</v>
      </c>
      <c r="K56" s="53" t="s">
        <v>129</v>
      </c>
      <c r="L56" s="53" t="s">
        <v>129</v>
      </c>
      <c r="M56" s="53" t="s">
        <v>129</v>
      </c>
      <c r="N56" s="53" t="s">
        <v>129</v>
      </c>
      <c r="O56" s="53" t="s">
        <v>129</v>
      </c>
      <c r="P56" s="53" t="s">
        <v>129</v>
      </c>
      <c r="Q56" s="53" t="s">
        <v>129</v>
      </c>
      <c r="R56" s="53" t="s">
        <v>129</v>
      </c>
      <c r="S56" s="53" t="s">
        <v>129</v>
      </c>
      <c r="T56" s="53" t="s">
        <v>129</v>
      </c>
      <c r="U56" s="53" t="s">
        <v>129</v>
      </c>
      <c r="V56" s="52" t="s">
        <v>129</v>
      </c>
      <c r="W56" s="93"/>
      <c r="X56" s="94"/>
      <c r="Y56" s="95"/>
      <c r="Z56" s="93"/>
      <c r="AA56" s="93"/>
      <c r="AB56" s="94"/>
      <c r="AC56" s="95"/>
      <c r="AD56" s="93"/>
      <c r="AE56" s="93"/>
      <c r="AF56" s="96"/>
      <c r="AG56" s="307">
        <v>0.02</v>
      </c>
      <c r="AH56" s="308"/>
      <c r="AI56" s="309"/>
    </row>
    <row r="57" spans="1:35" x14ac:dyDescent="0.35">
      <c r="A57" s="56"/>
      <c r="B57" s="60" t="s">
        <v>547</v>
      </c>
      <c r="C57" s="59" t="s">
        <v>129</v>
      </c>
      <c r="D57" s="58" t="s">
        <v>129</v>
      </c>
      <c r="E57" s="58" t="s">
        <v>129</v>
      </c>
      <c r="F57" s="58" t="s">
        <v>129</v>
      </c>
      <c r="G57" s="58" t="s">
        <v>129</v>
      </c>
      <c r="H57" s="58" t="s">
        <v>129</v>
      </c>
      <c r="I57" s="58" t="s">
        <v>129</v>
      </c>
      <c r="J57" s="58" t="s">
        <v>129</v>
      </c>
      <c r="K57" s="58" t="s">
        <v>129</v>
      </c>
      <c r="L57" s="58" t="s">
        <v>129</v>
      </c>
      <c r="M57" s="58" t="s">
        <v>129</v>
      </c>
      <c r="N57" s="58" t="s">
        <v>129</v>
      </c>
      <c r="O57" s="58" t="s">
        <v>129</v>
      </c>
      <c r="P57" s="58" t="s">
        <v>129</v>
      </c>
      <c r="Q57" s="58" t="s">
        <v>129</v>
      </c>
      <c r="R57" s="58" t="s">
        <v>129</v>
      </c>
      <c r="S57" s="58" t="s">
        <v>129</v>
      </c>
      <c r="T57" s="58" t="s">
        <v>129</v>
      </c>
      <c r="U57" s="58" t="s">
        <v>129</v>
      </c>
      <c r="V57" s="57" t="s">
        <v>129</v>
      </c>
      <c r="W57" s="86" t="s">
        <v>129</v>
      </c>
      <c r="X57" s="86" t="s">
        <v>129</v>
      </c>
      <c r="Y57" s="86" t="s">
        <v>129</v>
      </c>
      <c r="Z57" s="86" t="s">
        <v>129</v>
      </c>
      <c r="AA57" s="86" t="s">
        <v>129</v>
      </c>
      <c r="AB57" s="86" t="s">
        <v>129</v>
      </c>
      <c r="AC57" s="86" t="s">
        <v>129</v>
      </c>
      <c r="AD57" s="86" t="s">
        <v>129</v>
      </c>
      <c r="AE57" s="86" t="s">
        <v>129</v>
      </c>
      <c r="AF57" s="86" t="s">
        <v>129</v>
      </c>
      <c r="AG57" s="307">
        <v>0.01</v>
      </c>
      <c r="AH57" s="308"/>
      <c r="AI57" s="309"/>
    </row>
    <row r="58" spans="1:35" x14ac:dyDescent="0.35">
      <c r="A58" s="56"/>
      <c r="B58" s="55" t="s">
        <v>548</v>
      </c>
      <c r="C58" s="54" t="s">
        <v>129</v>
      </c>
      <c r="D58" s="53" t="s">
        <v>129</v>
      </c>
      <c r="E58" s="53" t="s">
        <v>129</v>
      </c>
      <c r="F58" s="53" t="s">
        <v>129</v>
      </c>
      <c r="G58" s="53" t="s">
        <v>129</v>
      </c>
      <c r="H58" s="53" t="s">
        <v>129</v>
      </c>
      <c r="I58" s="53" t="s">
        <v>129</v>
      </c>
      <c r="J58" s="53" t="s">
        <v>129</v>
      </c>
      <c r="K58" s="53" t="s">
        <v>129</v>
      </c>
      <c r="L58" s="53" t="s">
        <v>129</v>
      </c>
      <c r="M58" s="53" t="s">
        <v>129</v>
      </c>
      <c r="N58" s="53" t="s">
        <v>129</v>
      </c>
      <c r="O58" s="53" t="s">
        <v>129</v>
      </c>
      <c r="P58" s="53" t="s">
        <v>129</v>
      </c>
      <c r="Q58" s="53" t="s">
        <v>129</v>
      </c>
      <c r="R58" s="53" t="s">
        <v>129</v>
      </c>
      <c r="S58" s="53" t="s">
        <v>129</v>
      </c>
      <c r="T58" s="53" t="s">
        <v>129</v>
      </c>
      <c r="U58" s="92" t="s">
        <v>129</v>
      </c>
      <c r="V58" s="52" t="s">
        <v>129</v>
      </c>
      <c r="W58" s="97" t="s">
        <v>129</v>
      </c>
      <c r="X58" s="97" t="s">
        <v>129</v>
      </c>
      <c r="Y58" s="97" t="s">
        <v>129</v>
      </c>
      <c r="Z58" s="97" t="s">
        <v>129</v>
      </c>
      <c r="AA58" s="97" t="s">
        <v>129</v>
      </c>
      <c r="AB58" s="97" t="s">
        <v>129</v>
      </c>
      <c r="AC58" s="97" t="s">
        <v>129</v>
      </c>
      <c r="AD58" s="97" t="s">
        <v>129</v>
      </c>
      <c r="AE58" s="97" t="s">
        <v>129</v>
      </c>
      <c r="AF58" s="98" t="s">
        <v>129</v>
      </c>
      <c r="AG58" s="301">
        <v>7</v>
      </c>
      <c r="AH58" s="302"/>
      <c r="AI58" s="303"/>
    </row>
    <row r="59" spans="1:35" x14ac:dyDescent="0.35">
      <c r="B59" s="51" t="s">
        <v>549</v>
      </c>
      <c r="M59" s="304" t="s">
        <v>553</v>
      </c>
      <c r="N59" s="304"/>
      <c r="O59" s="304"/>
      <c r="P59" s="304"/>
      <c r="Q59" s="304"/>
      <c r="R59" s="304"/>
      <c r="S59" s="304"/>
      <c r="T59" s="304"/>
      <c r="U59" s="304"/>
      <c r="V59" s="304"/>
      <c r="W59" s="304"/>
      <c r="X59" s="304"/>
      <c r="Y59" s="304"/>
      <c r="Z59" s="304"/>
      <c r="AA59" s="304"/>
      <c r="AB59" s="304"/>
      <c r="AC59" s="304"/>
      <c r="AD59" s="304"/>
      <c r="AE59" s="304"/>
      <c r="AF59" s="304"/>
      <c r="AG59" s="305"/>
      <c r="AH59" s="305"/>
      <c r="AI59" s="305"/>
    </row>
    <row r="60" spans="1:35" ht="14.5" customHeight="1" x14ac:dyDescent="0.35">
      <c r="B60" s="46" t="s">
        <v>550</v>
      </c>
      <c r="M60" s="306" t="s">
        <v>554</v>
      </c>
      <c r="N60" s="306"/>
      <c r="O60" s="306"/>
      <c r="P60" s="306"/>
      <c r="Q60" s="306"/>
      <c r="R60" s="306"/>
      <c r="S60" s="306"/>
      <c r="T60" s="306"/>
      <c r="U60" s="306"/>
      <c r="V60" s="306"/>
      <c r="W60" s="306"/>
      <c r="X60" s="306"/>
      <c r="Y60" s="306"/>
      <c r="Z60" s="306"/>
      <c r="AA60" s="306"/>
      <c r="AB60" s="306"/>
      <c r="AC60" s="306"/>
      <c r="AD60" s="306"/>
      <c r="AE60" s="306"/>
      <c r="AF60" s="306"/>
      <c r="AG60" s="306"/>
      <c r="AH60" s="306"/>
      <c r="AI60" s="306"/>
    </row>
    <row r="61" spans="1:35" x14ac:dyDescent="0.35">
      <c r="B61" s="46" t="s">
        <v>551</v>
      </c>
      <c r="M61" s="306"/>
      <c r="N61" s="306"/>
      <c r="O61" s="306"/>
      <c r="P61" s="306"/>
      <c r="Q61" s="306"/>
      <c r="R61" s="306"/>
      <c r="S61" s="306"/>
      <c r="T61" s="306"/>
      <c r="U61" s="306"/>
      <c r="V61" s="306"/>
      <c r="W61" s="306"/>
      <c r="X61" s="306"/>
      <c r="Y61" s="306"/>
      <c r="Z61" s="306"/>
      <c r="AA61" s="306"/>
      <c r="AB61" s="306"/>
      <c r="AC61" s="306"/>
      <c r="AD61" s="306"/>
      <c r="AE61" s="306"/>
      <c r="AF61" s="306"/>
      <c r="AG61" s="306"/>
      <c r="AH61" s="306"/>
      <c r="AI61" s="306"/>
    </row>
    <row r="62" spans="1:35" x14ac:dyDescent="0.35">
      <c r="B62" s="46" t="s">
        <v>552</v>
      </c>
      <c r="M62" s="306"/>
      <c r="N62" s="306"/>
      <c r="O62" s="306"/>
      <c r="P62" s="306"/>
      <c r="Q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  <c r="AF62" s="306"/>
      <c r="AG62" s="306"/>
      <c r="AH62" s="306"/>
      <c r="AI62" s="306"/>
    </row>
    <row r="63" spans="1:35" x14ac:dyDescent="0.35">
      <c r="B63" s="287" t="s">
        <v>536</v>
      </c>
      <c r="AF63" s="87"/>
    </row>
    <row r="65" spans="2:2" x14ac:dyDescent="0.35">
      <c r="B65" s="50"/>
    </row>
  </sheetData>
  <mergeCells count="95">
    <mergeCell ref="A1:A11"/>
    <mergeCell ref="C1:F1"/>
    <mergeCell ref="G1:J1"/>
    <mergeCell ref="K1:N1"/>
    <mergeCell ref="O1:R1"/>
    <mergeCell ref="O7:R7"/>
    <mergeCell ref="G3:J3"/>
    <mergeCell ref="K3:N3"/>
    <mergeCell ref="C6:F6"/>
    <mergeCell ref="G6:J6"/>
    <mergeCell ref="K6:N6"/>
    <mergeCell ref="O6:R6"/>
    <mergeCell ref="C8:F8"/>
    <mergeCell ref="G8:J8"/>
    <mergeCell ref="K8:N8"/>
    <mergeCell ref="O8:R8"/>
    <mergeCell ref="S7:V7"/>
    <mergeCell ref="O9:R9"/>
    <mergeCell ref="C2:F2"/>
    <mergeCell ref="G2:J2"/>
    <mergeCell ref="K2:N2"/>
    <mergeCell ref="O2:R2"/>
    <mergeCell ref="S2:V2"/>
    <mergeCell ref="O3:R3"/>
    <mergeCell ref="C5:F5"/>
    <mergeCell ref="G5:J5"/>
    <mergeCell ref="K5:N5"/>
    <mergeCell ref="O5:R5"/>
    <mergeCell ref="C7:F7"/>
    <mergeCell ref="G7:J7"/>
    <mergeCell ref="K7:N7"/>
    <mergeCell ref="C3:F3"/>
    <mergeCell ref="AG3:AG11"/>
    <mergeCell ref="AH3:AH11"/>
    <mergeCell ref="AI3:AI11"/>
    <mergeCell ref="AG1:AI2"/>
    <mergeCell ref="S1:V1"/>
    <mergeCell ref="S3:V3"/>
    <mergeCell ref="S5:V5"/>
    <mergeCell ref="S6:V6"/>
    <mergeCell ref="S11:V11"/>
    <mergeCell ref="S8:V8"/>
    <mergeCell ref="W1:X1"/>
    <mergeCell ref="W2:X2"/>
    <mergeCell ref="W3:X3"/>
    <mergeCell ref="W4:X4"/>
    <mergeCell ref="W5:X5"/>
    <mergeCell ref="W6:X6"/>
    <mergeCell ref="C9:F9"/>
    <mergeCell ref="G9:J9"/>
    <mergeCell ref="K9:N9"/>
    <mergeCell ref="S9:V9"/>
    <mergeCell ref="AG57:AI57"/>
    <mergeCell ref="C49:AF49"/>
    <mergeCell ref="Z11:AC11"/>
    <mergeCell ref="AD11:AF11"/>
    <mergeCell ref="Z10:AC10"/>
    <mergeCell ref="W10:X10"/>
    <mergeCell ref="W11:X11"/>
    <mergeCell ref="C22:AF22"/>
    <mergeCell ref="C42:AF42"/>
    <mergeCell ref="AD10:AF10"/>
    <mergeCell ref="C14:V14"/>
    <mergeCell ref="C10:F10"/>
    <mergeCell ref="AG58:AI58"/>
    <mergeCell ref="M59:AI59"/>
    <mergeCell ref="M60:AI62"/>
    <mergeCell ref="AG56:AI56"/>
    <mergeCell ref="Z1:AC1"/>
    <mergeCell ref="AD1:AF1"/>
    <mergeCell ref="Z2:AC2"/>
    <mergeCell ref="AD2:AF2"/>
    <mergeCell ref="Z3:AC3"/>
    <mergeCell ref="AD3:AF3"/>
    <mergeCell ref="Z5:AC5"/>
    <mergeCell ref="AD5:AF5"/>
    <mergeCell ref="Z6:AC6"/>
    <mergeCell ref="AD6:AF6"/>
    <mergeCell ref="Z7:AC7"/>
    <mergeCell ref="AD7:AF7"/>
    <mergeCell ref="W7:X7"/>
    <mergeCell ref="W8:X8"/>
    <mergeCell ref="Z8:AC8"/>
    <mergeCell ref="AD8:AF8"/>
    <mergeCell ref="Z9:AC9"/>
    <mergeCell ref="AD9:AF9"/>
    <mergeCell ref="W9:X9"/>
    <mergeCell ref="G10:J10"/>
    <mergeCell ref="K10:N10"/>
    <mergeCell ref="O10:R10"/>
    <mergeCell ref="S10:V10"/>
    <mergeCell ref="C11:F11"/>
    <mergeCell ref="G11:J11"/>
    <mergeCell ref="K11:N11"/>
    <mergeCell ref="O11:R11"/>
  </mergeCells>
  <conditionalFormatting sqref="D1:D41 T63:T65536 P63:P65536 L63:L65536 H63:H65536 D63:D65536 L43:L48 T43:T48 P43:P48 H43:H48 D43:D48 D50:D55 H50:H55 P50:P55 T50:T55 L50:L55 H1:H41 L1:L41 P1:P41 T1:T41">
    <cfRule type="expression" dxfId="574" priority="41" stopIfTrue="1">
      <formula>F1=4</formula>
    </cfRule>
    <cfRule type="expression" dxfId="573" priority="42" stopIfTrue="1">
      <formula>F1=3</formula>
    </cfRule>
    <cfRule type="expression" dxfId="572" priority="43" stopIfTrue="1">
      <formula>F1=2</formula>
    </cfRule>
    <cfRule type="expression" dxfId="571" priority="44" stopIfTrue="1">
      <formula>F1=1</formula>
    </cfRule>
  </conditionalFormatting>
  <conditionalFormatting sqref="L59:L62 H59:H62 D59:D62">
    <cfRule type="expression" dxfId="570" priority="37" stopIfTrue="1">
      <formula>F59=4</formula>
    </cfRule>
    <cfRule type="expression" dxfId="569" priority="38" stopIfTrue="1">
      <formula>F59=3</formula>
    </cfRule>
    <cfRule type="expression" dxfId="568" priority="39" stopIfTrue="1">
      <formula>F59=2</formula>
    </cfRule>
    <cfRule type="expression" dxfId="567" priority="40" stopIfTrue="1">
      <formula>F59=1</formula>
    </cfRule>
  </conditionalFormatting>
  <conditionalFormatting sqref="W1 AA1:AA9 AA64:AA65536 W64:W65536 W12:W21 W23:W41 AA23:AA41 AA43:AA48 W43:W48 W50:W56 AA50:AA56 AA11:AA21">
    <cfRule type="expression" dxfId="566" priority="33" stopIfTrue="1">
      <formula>Y1=4</formula>
    </cfRule>
    <cfRule type="expression" dxfId="565" priority="34" stopIfTrue="1">
      <formula>Y1=3</formula>
    </cfRule>
    <cfRule type="expression" dxfId="564" priority="35" stopIfTrue="1">
      <formula>Y1=2</formula>
    </cfRule>
    <cfRule type="expression" dxfId="563" priority="36" stopIfTrue="1">
      <formula>Y1=1</formula>
    </cfRule>
  </conditionalFormatting>
  <conditionalFormatting sqref="AA63 W63">
    <cfRule type="expression" dxfId="562" priority="29" stopIfTrue="1">
      <formula>Y63=4</formula>
    </cfRule>
    <cfRule type="expression" dxfId="561" priority="30" stopIfTrue="1">
      <formula>Y63=3</formula>
    </cfRule>
    <cfRule type="expression" dxfId="560" priority="31" stopIfTrue="1">
      <formula>Y63=2</formula>
    </cfRule>
    <cfRule type="expression" dxfId="559" priority="32" stopIfTrue="1">
      <formula>Y63=1</formula>
    </cfRule>
  </conditionalFormatting>
  <conditionalFormatting sqref="AE1:AE21 AE63:AE65536 AE23:AE41 AE43:AE48 AE50:AE56">
    <cfRule type="expression" dxfId="558" priority="188" stopIfTrue="1">
      <formula>#REF!=4</formula>
    </cfRule>
    <cfRule type="expression" dxfId="557" priority="189" stopIfTrue="1">
      <formula>#REF!=3</formula>
    </cfRule>
    <cfRule type="expression" dxfId="556" priority="190" stopIfTrue="1">
      <formula>#REF!=2</formula>
    </cfRule>
    <cfRule type="expression" dxfId="555" priority="191" stopIfTrue="1">
      <formula>#REF!=1</formula>
    </cfRule>
  </conditionalFormatting>
  <conditionalFormatting sqref="W2:W11">
    <cfRule type="expression" dxfId="554" priority="25" stopIfTrue="1">
      <formula>Y2=4</formula>
    </cfRule>
    <cfRule type="expression" dxfId="553" priority="26" stopIfTrue="1">
      <formula>Y2=3</formula>
    </cfRule>
    <cfRule type="expression" dxfId="552" priority="27" stopIfTrue="1">
      <formula>Y2=2</formula>
    </cfRule>
    <cfRule type="expression" dxfId="551" priority="28" stopIfTrue="1">
      <formula>Y2=1</formula>
    </cfRule>
  </conditionalFormatting>
  <conditionalFormatting sqref="D42 H42 P42 T42 L42">
    <cfRule type="expression" dxfId="550" priority="21" stopIfTrue="1">
      <formula>F42=4</formula>
    </cfRule>
    <cfRule type="expression" dxfId="549" priority="22" stopIfTrue="1">
      <formula>F42=3</formula>
    </cfRule>
    <cfRule type="expression" dxfId="548" priority="23" stopIfTrue="1">
      <formula>F42=2</formula>
    </cfRule>
    <cfRule type="expression" dxfId="547" priority="24" stopIfTrue="1">
      <formula>F42=1</formula>
    </cfRule>
  </conditionalFormatting>
  <conditionalFormatting sqref="D49 H49 P49 T49 L49">
    <cfRule type="expression" dxfId="546" priority="17" stopIfTrue="1">
      <formula>F49=4</formula>
    </cfRule>
    <cfRule type="expression" dxfId="545" priority="18" stopIfTrue="1">
      <formula>F49=3</formula>
    </cfRule>
    <cfRule type="expression" dxfId="544" priority="19" stopIfTrue="1">
      <formula>F49=2</formula>
    </cfRule>
    <cfRule type="expression" dxfId="543" priority="20" stopIfTrue="1">
      <formula>F49=1</formula>
    </cfRule>
  </conditionalFormatting>
  <conditionalFormatting sqref="AA10">
    <cfRule type="expression" dxfId="542" priority="13" stopIfTrue="1">
      <formula>AC10=4</formula>
    </cfRule>
    <cfRule type="expression" dxfId="541" priority="14" stopIfTrue="1">
      <formula>AC10=3</formula>
    </cfRule>
    <cfRule type="expression" dxfId="540" priority="15" stopIfTrue="1">
      <formula>AC10=2</formula>
    </cfRule>
    <cfRule type="expression" dxfId="539" priority="16" stopIfTrue="1">
      <formula>AC10=1</formula>
    </cfRule>
  </conditionalFormatting>
  <conditionalFormatting sqref="P59:P62 T59:T62">
    <cfRule type="expression" dxfId="538" priority="5" stopIfTrue="1">
      <formula>R59=4</formula>
    </cfRule>
    <cfRule type="expression" dxfId="537" priority="6" stopIfTrue="1">
      <formula>R59=3</formula>
    </cfRule>
    <cfRule type="expression" dxfId="536" priority="7" stopIfTrue="1">
      <formula>R59=2</formula>
    </cfRule>
    <cfRule type="expression" dxfId="535" priority="8" stopIfTrue="1">
      <formula>R59=1</formula>
    </cfRule>
  </conditionalFormatting>
  <conditionalFormatting sqref="W60:W62 AA60:AA62">
    <cfRule type="expression" dxfId="534" priority="1" stopIfTrue="1">
      <formula>Y60=4</formula>
    </cfRule>
    <cfRule type="expression" dxfId="533" priority="2" stopIfTrue="1">
      <formula>Y60=3</formula>
    </cfRule>
    <cfRule type="expression" dxfId="532" priority="3" stopIfTrue="1">
      <formula>Y60=2</formula>
    </cfRule>
    <cfRule type="expression" dxfId="531" priority="4" stopIfTrue="1">
      <formula>Y60=1</formula>
    </cfRule>
  </conditionalFormatting>
  <conditionalFormatting sqref="AE60:AE62">
    <cfRule type="expression" dxfId="530" priority="9" stopIfTrue="1">
      <formula>#REF!=4</formula>
    </cfRule>
    <cfRule type="expression" dxfId="529" priority="10" stopIfTrue="1">
      <formula>#REF!=3</formula>
    </cfRule>
    <cfRule type="expression" dxfId="528" priority="11" stopIfTrue="1">
      <formula>#REF!=2</formula>
    </cfRule>
    <cfRule type="expression" dxfId="527" priority="12" stopIfTrue="1">
      <formula>#REF!=1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1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CD48"/>
  <sheetViews>
    <sheetView view="pageBreakPreview" zoomScale="80" zoomScaleNormal="80" zoomScaleSheetLayoutView="80" workbookViewId="0">
      <pane xSplit="4" ySplit="5" topLeftCell="BJ6" activePane="bottomRight" state="frozen"/>
      <selection activeCell="AN76" sqref="AN76"/>
      <selection pane="topRight" activeCell="AN76" sqref="AN76"/>
      <selection pane="bottomLeft" activeCell="AN76" sqref="AN76"/>
      <selection pane="bottomRight" activeCell="CE21" sqref="CE21"/>
    </sheetView>
  </sheetViews>
  <sheetFormatPr defaultColWidth="14.54296875" defaultRowHeight="14.5" x14ac:dyDescent="0.35"/>
  <cols>
    <col min="1" max="1" width="30.90625" style="1" customWidth="1"/>
    <col min="2" max="2" width="18" style="24" customWidth="1"/>
    <col min="3" max="3" width="16.54296875" style="24" customWidth="1"/>
    <col min="4" max="4" width="9" style="24" bestFit="1" customWidth="1"/>
    <col min="5" max="5" width="9.54296875" style="24" hidden="1" customWidth="1"/>
    <col min="6" max="7" width="10.54296875" style="24" hidden="1" customWidth="1"/>
    <col min="8" max="9" width="11.90625" style="24" customWidth="1"/>
    <col min="10" max="10" width="11" style="24" bestFit="1" customWidth="1"/>
    <col min="11" max="15" width="11" style="24" customWidth="1"/>
    <col min="16" max="17" width="9.54296875" style="24" hidden="1" customWidth="1"/>
    <col min="18" max="18" width="11" style="24" hidden="1" customWidth="1"/>
    <col min="19" max="19" width="9.54296875" style="24" hidden="1" customWidth="1"/>
    <col min="20" max="21" width="10.54296875" style="24" hidden="1" customWidth="1"/>
    <col min="22" max="23" width="12" style="24" customWidth="1"/>
    <col min="24" max="29" width="11.54296875" style="24" customWidth="1"/>
    <col min="30" max="31" width="10.54296875" style="24" hidden="1" customWidth="1"/>
    <col min="32" max="32" width="9.54296875" style="24" hidden="1" customWidth="1"/>
    <col min="33" max="34" width="10.54296875" style="24" hidden="1" customWidth="1"/>
    <col min="35" max="35" width="11.453125" style="24" hidden="1" customWidth="1"/>
    <col min="36" max="36" width="11.453125" style="24" customWidth="1"/>
    <col min="37" max="37" width="11.54296875" style="24" customWidth="1"/>
    <col min="38" max="43" width="12.453125" style="24" customWidth="1"/>
    <col min="44" max="45" width="10.54296875" style="24" hidden="1" customWidth="1"/>
    <col min="46" max="46" width="11.453125" style="24" hidden="1" customWidth="1"/>
    <col min="47" max="47" width="11.453125" style="24" customWidth="1"/>
    <col min="48" max="50" width="11.54296875" style="24" customWidth="1"/>
    <col min="51" max="54" width="12" style="24" customWidth="1"/>
    <col min="55" max="55" width="10.54296875" style="24" hidden="1" customWidth="1"/>
    <col min="56" max="57" width="11" style="24" hidden="1" customWidth="1"/>
    <col min="58" max="58" width="11.54296875" style="24" customWidth="1"/>
    <col min="59" max="61" width="12.453125" style="24" customWidth="1"/>
    <col min="62" max="62" width="10.54296875" style="24" customWidth="1"/>
    <col min="63" max="63" width="11.453125" style="24" bestFit="1" customWidth="1"/>
    <col min="64" max="64" width="11.453125" style="24" customWidth="1"/>
    <col min="65" max="65" width="11.08984375" style="24" customWidth="1"/>
    <col min="66" max="66" width="10.54296875" style="24" hidden="1" customWidth="1"/>
    <col min="67" max="68" width="11.453125" style="24" hidden="1" customWidth="1"/>
    <col min="69" max="73" width="14.54296875" style="1" customWidth="1"/>
    <col min="74" max="16384" width="14.54296875" style="1"/>
  </cols>
  <sheetData>
    <row r="1" spans="1:82" ht="45.9" customHeight="1" x14ac:dyDescent="0.35">
      <c r="B1" s="292" t="s">
        <v>561</v>
      </c>
      <c r="C1" s="292"/>
      <c r="E1" s="119" t="s">
        <v>365</v>
      </c>
      <c r="P1" s="25"/>
      <c r="S1" s="119" t="s">
        <v>366</v>
      </c>
      <c r="V1" s="25"/>
      <c r="AC1" s="255"/>
      <c r="AF1" s="119" t="s">
        <v>366</v>
      </c>
      <c r="AL1" s="119"/>
      <c r="AM1" s="119"/>
      <c r="AN1" s="119"/>
      <c r="AO1" s="119"/>
      <c r="AP1" s="119"/>
      <c r="AQ1" s="268"/>
      <c r="AR1" s="119" t="s">
        <v>367</v>
      </c>
      <c r="AW1" s="119"/>
      <c r="AX1" s="119"/>
      <c r="AY1" s="119" t="s">
        <v>367</v>
      </c>
      <c r="AZ1" s="119"/>
      <c r="BA1" s="119"/>
      <c r="BB1" s="268"/>
      <c r="BG1" s="119"/>
      <c r="BH1" s="119"/>
      <c r="BI1" s="119"/>
      <c r="BJ1" s="273" t="s">
        <v>560</v>
      </c>
      <c r="BK1" s="119"/>
      <c r="BL1" s="119"/>
      <c r="BM1" s="268"/>
    </row>
    <row r="2" spans="1:82" s="2" customFormat="1" ht="58" x14ac:dyDescent="0.35">
      <c r="A2" s="6" t="s">
        <v>0</v>
      </c>
      <c r="B2" s="14" t="s">
        <v>555</v>
      </c>
      <c r="C2" s="14" t="s">
        <v>556</v>
      </c>
      <c r="D2" s="15" t="s">
        <v>5</v>
      </c>
      <c r="E2" s="101" t="s">
        <v>65</v>
      </c>
      <c r="F2" s="102" t="s">
        <v>66</v>
      </c>
      <c r="G2" s="102" t="s">
        <v>118</v>
      </c>
      <c r="H2" s="150" t="s">
        <v>347</v>
      </c>
      <c r="I2" s="16" t="s">
        <v>382</v>
      </c>
      <c r="J2" s="150" t="s">
        <v>400</v>
      </c>
      <c r="K2" s="16" t="s">
        <v>430</v>
      </c>
      <c r="L2" s="21" t="s">
        <v>457</v>
      </c>
      <c r="M2" s="159" t="s">
        <v>476</v>
      </c>
      <c r="N2" s="159" t="s">
        <v>484</v>
      </c>
      <c r="O2" s="233" t="s">
        <v>508</v>
      </c>
      <c r="P2" s="16" t="s">
        <v>67</v>
      </c>
      <c r="Q2" s="21" t="s">
        <v>68</v>
      </c>
      <c r="R2" s="116" t="s">
        <v>119</v>
      </c>
      <c r="S2" s="101" t="s">
        <v>69</v>
      </c>
      <c r="T2" s="103" t="s">
        <v>70</v>
      </c>
      <c r="U2" s="159" t="s">
        <v>120</v>
      </c>
      <c r="V2" s="116" t="s">
        <v>351</v>
      </c>
      <c r="W2" s="21" t="s">
        <v>383</v>
      </c>
      <c r="X2" s="21" t="s">
        <v>401</v>
      </c>
      <c r="Y2" s="21" t="s">
        <v>431</v>
      </c>
      <c r="Z2" s="21" t="s">
        <v>458</v>
      </c>
      <c r="AA2" s="21" t="s">
        <v>477</v>
      </c>
      <c r="AB2" s="21" t="s">
        <v>485</v>
      </c>
      <c r="AC2" s="149" t="s">
        <v>509</v>
      </c>
      <c r="AD2" s="16" t="s">
        <v>71</v>
      </c>
      <c r="AE2" s="16" t="s">
        <v>72</v>
      </c>
      <c r="AF2" s="116" t="s">
        <v>121</v>
      </c>
      <c r="AG2" s="101" t="s">
        <v>73</v>
      </c>
      <c r="AH2" s="103" t="s">
        <v>74</v>
      </c>
      <c r="AI2" s="159" t="s">
        <v>122</v>
      </c>
      <c r="AJ2" s="116" t="s">
        <v>352</v>
      </c>
      <c r="AK2" s="21" t="s">
        <v>384</v>
      </c>
      <c r="AL2" s="21" t="s">
        <v>402</v>
      </c>
      <c r="AM2" s="21" t="s">
        <v>432</v>
      </c>
      <c r="AN2" s="21" t="s">
        <v>459</v>
      </c>
      <c r="AO2" s="21" t="s">
        <v>478</v>
      </c>
      <c r="AP2" s="21" t="s">
        <v>486</v>
      </c>
      <c r="AQ2" s="149" t="s">
        <v>510</v>
      </c>
      <c r="AR2" s="16" t="s">
        <v>75</v>
      </c>
      <c r="AS2" s="16" t="s">
        <v>76</v>
      </c>
      <c r="AT2" s="116" t="s">
        <v>123</v>
      </c>
      <c r="AU2" s="116" t="s">
        <v>353</v>
      </c>
      <c r="AV2" s="21" t="s">
        <v>385</v>
      </c>
      <c r="AW2" s="21" t="s">
        <v>403</v>
      </c>
      <c r="AX2" s="21" t="s">
        <v>433</v>
      </c>
      <c r="AY2" s="21" t="s">
        <v>461</v>
      </c>
      <c r="AZ2" s="21" t="s">
        <v>479</v>
      </c>
      <c r="BA2" s="21" t="s">
        <v>487</v>
      </c>
      <c r="BB2" s="149" t="s">
        <v>511</v>
      </c>
      <c r="BC2" s="101" t="s">
        <v>77</v>
      </c>
      <c r="BD2" s="102" t="s">
        <v>78</v>
      </c>
      <c r="BE2" s="159" t="s">
        <v>124</v>
      </c>
      <c r="BF2" s="116" t="s">
        <v>354</v>
      </c>
      <c r="BG2" s="21" t="s">
        <v>386</v>
      </c>
      <c r="BH2" s="21" t="s">
        <v>404</v>
      </c>
      <c r="BI2" s="21" t="s">
        <v>434</v>
      </c>
      <c r="BJ2" s="21" t="s">
        <v>462</v>
      </c>
      <c r="BK2" s="21" t="s">
        <v>480</v>
      </c>
      <c r="BL2" s="21" t="s">
        <v>488</v>
      </c>
      <c r="BM2" s="149" t="s">
        <v>512</v>
      </c>
      <c r="BN2" s="16" t="s">
        <v>79</v>
      </c>
      <c r="BO2" s="16" t="s">
        <v>80</v>
      </c>
      <c r="BP2" s="21" t="s">
        <v>125</v>
      </c>
      <c r="BQ2" s="163" t="s">
        <v>355</v>
      </c>
      <c r="BR2" s="16" t="s">
        <v>387</v>
      </c>
      <c r="BS2" s="16" t="s">
        <v>405</v>
      </c>
      <c r="BT2" s="16" t="s">
        <v>435</v>
      </c>
      <c r="BU2" s="21" t="s">
        <v>467</v>
      </c>
      <c r="BV2" s="21" t="s">
        <v>481</v>
      </c>
      <c r="BW2" s="21" t="s">
        <v>489</v>
      </c>
      <c r="BX2" s="149" t="s">
        <v>513</v>
      </c>
      <c r="BY2" s="120" t="s">
        <v>364</v>
      </c>
      <c r="BZ2" s="120" t="s">
        <v>562</v>
      </c>
      <c r="CA2" s="120" t="s">
        <v>563</v>
      </c>
    </row>
    <row r="3" spans="1:82" x14ac:dyDescent="0.35">
      <c r="A3" s="8" t="s">
        <v>10</v>
      </c>
      <c r="D3" s="104"/>
      <c r="E3" s="25" t="s">
        <v>11</v>
      </c>
      <c r="F3" s="24" t="s">
        <v>12</v>
      </c>
      <c r="G3" s="28">
        <v>43986</v>
      </c>
      <c r="H3" s="28">
        <v>44201</v>
      </c>
      <c r="I3" s="28">
        <v>44281</v>
      </c>
      <c r="J3" s="28">
        <v>44349</v>
      </c>
      <c r="K3" s="28">
        <v>44466</v>
      </c>
      <c r="L3" s="28">
        <v>44567</v>
      </c>
      <c r="M3" s="27">
        <v>44698</v>
      </c>
      <c r="N3" s="27">
        <v>44754</v>
      </c>
      <c r="O3" s="106">
        <v>44860</v>
      </c>
      <c r="P3" s="24" t="s">
        <v>11</v>
      </c>
      <c r="Q3" s="24" t="s">
        <v>12</v>
      </c>
      <c r="R3" s="105">
        <v>43986</v>
      </c>
      <c r="S3" s="29" t="s">
        <v>11</v>
      </c>
      <c r="T3" s="28" t="s">
        <v>12</v>
      </c>
      <c r="U3" s="28">
        <v>43986</v>
      </c>
      <c r="V3" s="28">
        <v>44201</v>
      </c>
      <c r="W3" s="28">
        <v>44281</v>
      </c>
      <c r="X3" s="28">
        <v>44349</v>
      </c>
      <c r="Y3" s="28">
        <v>44466</v>
      </c>
      <c r="Z3" s="28">
        <v>44567</v>
      </c>
      <c r="AA3" s="28">
        <v>44698</v>
      </c>
      <c r="AB3" s="28">
        <v>44754</v>
      </c>
      <c r="AC3" s="105">
        <v>44860</v>
      </c>
      <c r="AD3" s="24" t="s">
        <v>11</v>
      </c>
      <c r="AE3" s="24" t="s">
        <v>12</v>
      </c>
      <c r="AF3" s="105">
        <v>43986</v>
      </c>
      <c r="AG3" s="25" t="s">
        <v>11</v>
      </c>
      <c r="AH3" s="24" t="s">
        <v>12</v>
      </c>
      <c r="AI3" s="28">
        <v>43986</v>
      </c>
      <c r="AJ3" s="28">
        <v>44201</v>
      </c>
      <c r="AK3" s="28">
        <v>44281</v>
      </c>
      <c r="AL3" s="28">
        <v>44349</v>
      </c>
      <c r="AM3" s="28">
        <v>44466</v>
      </c>
      <c r="AN3" s="28">
        <v>44567</v>
      </c>
      <c r="AO3" s="28">
        <v>44698</v>
      </c>
      <c r="AP3" s="28">
        <v>44754</v>
      </c>
      <c r="AQ3" s="105">
        <v>44860</v>
      </c>
      <c r="AR3" s="24" t="s">
        <v>11</v>
      </c>
      <c r="AS3" s="24" t="s">
        <v>12</v>
      </c>
      <c r="AT3" s="28">
        <v>43986</v>
      </c>
      <c r="AU3" s="28">
        <v>44201</v>
      </c>
      <c r="AV3" s="28">
        <v>44281</v>
      </c>
      <c r="AW3" s="28">
        <v>44349</v>
      </c>
      <c r="AX3" s="28">
        <v>44466</v>
      </c>
      <c r="AY3" s="28">
        <v>44466</v>
      </c>
      <c r="AZ3" s="28">
        <v>44698</v>
      </c>
      <c r="BA3" s="28">
        <v>44754</v>
      </c>
      <c r="BB3" s="105">
        <v>44860</v>
      </c>
      <c r="BC3" s="24" t="s">
        <v>11</v>
      </c>
      <c r="BD3" s="28">
        <v>43920</v>
      </c>
      <c r="BE3" s="28">
        <v>43986</v>
      </c>
      <c r="BF3" s="27">
        <v>44201</v>
      </c>
      <c r="BG3" s="27">
        <v>44281</v>
      </c>
      <c r="BH3" s="27">
        <v>44349</v>
      </c>
      <c r="BI3" s="27">
        <v>44466</v>
      </c>
      <c r="BJ3" s="27">
        <v>44567</v>
      </c>
      <c r="BK3" s="27">
        <v>44698</v>
      </c>
      <c r="BL3" s="27">
        <v>44754</v>
      </c>
      <c r="BM3" s="106">
        <v>44860</v>
      </c>
      <c r="BN3" s="24" t="s">
        <v>11</v>
      </c>
      <c r="BO3" s="24" t="s">
        <v>12</v>
      </c>
      <c r="BP3" s="28">
        <v>43986</v>
      </c>
      <c r="BQ3" s="28">
        <v>44201</v>
      </c>
      <c r="BR3" s="28">
        <v>44281</v>
      </c>
      <c r="BS3" s="28">
        <v>44349</v>
      </c>
      <c r="BT3" s="28">
        <v>44466</v>
      </c>
      <c r="BU3" s="28">
        <v>44567</v>
      </c>
      <c r="BV3" s="28">
        <v>44698</v>
      </c>
      <c r="BW3" s="28">
        <v>44754</v>
      </c>
      <c r="BX3" s="105">
        <v>44860</v>
      </c>
    </row>
    <row r="4" spans="1:82" x14ac:dyDescent="0.35">
      <c r="A4" s="8"/>
      <c r="D4" s="104"/>
      <c r="E4" s="25"/>
      <c r="J4" s="45"/>
      <c r="K4" s="45"/>
      <c r="L4" s="45"/>
      <c r="M4" s="45"/>
      <c r="N4" s="45"/>
      <c r="O4" s="234"/>
      <c r="S4" s="25"/>
      <c r="AC4" s="255"/>
      <c r="AG4" s="25"/>
      <c r="AO4" s="45"/>
      <c r="AQ4" s="234"/>
      <c r="AZ4" s="43"/>
      <c r="BA4" s="43"/>
      <c r="BB4" s="226"/>
      <c r="BM4" s="255"/>
      <c r="BQ4" s="24"/>
      <c r="BR4" s="24"/>
      <c r="BS4" s="24"/>
      <c r="BT4" s="24"/>
      <c r="BU4" s="24"/>
      <c r="BV4" s="24"/>
      <c r="BW4" s="24"/>
      <c r="BX4" s="255"/>
    </row>
    <row r="5" spans="1:82" x14ac:dyDescent="0.35">
      <c r="A5" s="10" t="s">
        <v>557</v>
      </c>
      <c r="B5" s="32"/>
      <c r="C5" s="32"/>
      <c r="D5" s="107"/>
      <c r="E5" s="33"/>
      <c r="F5" s="32"/>
      <c r="G5" s="32"/>
      <c r="H5" s="32"/>
      <c r="I5" s="32"/>
      <c r="J5" s="152"/>
      <c r="K5" s="152"/>
      <c r="L5" s="152"/>
      <c r="M5" s="152"/>
      <c r="N5" s="152"/>
      <c r="O5" s="151"/>
      <c r="P5" s="32"/>
      <c r="Q5" s="32"/>
      <c r="R5" s="32"/>
      <c r="S5" s="33"/>
      <c r="T5" s="32"/>
      <c r="U5" s="32"/>
      <c r="V5" s="32"/>
      <c r="W5" s="32"/>
      <c r="X5" s="152"/>
      <c r="Y5" s="152"/>
      <c r="Z5" s="152"/>
      <c r="AA5" s="152"/>
      <c r="AB5" s="152"/>
      <c r="AC5" s="225"/>
      <c r="AD5" s="32"/>
      <c r="AE5" s="32"/>
      <c r="AF5" s="32"/>
      <c r="AG5" s="33"/>
      <c r="AH5" s="32"/>
      <c r="AI5" s="32"/>
      <c r="AJ5" s="32"/>
      <c r="AK5" s="32"/>
      <c r="AL5" s="32"/>
      <c r="AM5" s="152"/>
      <c r="AN5" s="152"/>
      <c r="AO5" s="152"/>
      <c r="AP5" s="152"/>
      <c r="AQ5" s="151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4"/>
      <c r="BC5" s="32"/>
      <c r="BD5" s="32"/>
      <c r="BE5" s="32"/>
      <c r="BF5" s="32"/>
      <c r="BG5" s="32"/>
      <c r="BH5" s="32"/>
      <c r="BI5" s="32"/>
      <c r="BJ5" s="32"/>
      <c r="BK5" s="32"/>
      <c r="BL5" s="32"/>
      <c r="BM5" s="34"/>
      <c r="BN5" s="32"/>
      <c r="BO5" s="32"/>
      <c r="BP5" s="32"/>
      <c r="BQ5" s="32"/>
      <c r="BR5" s="32"/>
      <c r="BS5" s="32"/>
      <c r="BT5" s="152"/>
      <c r="BU5" s="152"/>
      <c r="BV5" s="152"/>
      <c r="BW5" s="152"/>
      <c r="BX5" s="151"/>
      <c r="CB5" s="244" t="s">
        <v>496</v>
      </c>
      <c r="CC5" s="245" t="s">
        <v>497</v>
      </c>
      <c r="CD5" s="280">
        <v>44860</v>
      </c>
    </row>
    <row r="6" spans="1:82" x14ac:dyDescent="0.35">
      <c r="A6" s="8" t="s">
        <v>16</v>
      </c>
      <c r="D6" s="104"/>
      <c r="E6" s="25" t="s">
        <v>14</v>
      </c>
      <c r="F6" s="24" t="s">
        <v>14</v>
      </c>
      <c r="O6" s="255"/>
      <c r="P6" s="24" t="s">
        <v>14</v>
      </c>
      <c r="Q6" s="24" t="s">
        <v>14</v>
      </c>
      <c r="S6" s="25" t="s">
        <v>14</v>
      </c>
      <c r="T6" s="24" t="s">
        <v>14</v>
      </c>
      <c r="AA6" s="198"/>
      <c r="AB6" s="198"/>
      <c r="AC6" s="255"/>
      <c r="AD6" s="24" t="s">
        <v>14</v>
      </c>
      <c r="AE6" s="24" t="s">
        <v>14</v>
      </c>
      <c r="AG6" s="25" t="s">
        <v>14</v>
      </c>
      <c r="AH6" s="24" t="s">
        <v>14</v>
      </c>
      <c r="AQ6" s="255"/>
      <c r="AR6" s="24" t="s">
        <v>14</v>
      </c>
      <c r="AS6" s="24" t="s">
        <v>14</v>
      </c>
      <c r="BB6" s="255"/>
      <c r="BC6" s="24" t="s">
        <v>14</v>
      </c>
      <c r="BD6" s="24" t="s">
        <v>14</v>
      </c>
      <c r="BM6" s="255"/>
      <c r="BN6" s="24" t="s">
        <v>14</v>
      </c>
      <c r="BO6" s="24" t="s">
        <v>14</v>
      </c>
      <c r="BQ6" s="24"/>
      <c r="BR6" s="24"/>
      <c r="BS6" s="24"/>
      <c r="BT6" s="24"/>
      <c r="BU6" s="24"/>
      <c r="BV6" s="24"/>
      <c r="BW6" s="24"/>
      <c r="BX6" s="255"/>
    </row>
    <row r="7" spans="1:82" x14ac:dyDescent="0.35">
      <c r="A7" s="8" t="s">
        <v>27</v>
      </c>
      <c r="D7" s="25"/>
      <c r="E7" s="25"/>
      <c r="O7" s="255"/>
      <c r="S7" s="25"/>
      <c r="AC7" s="255"/>
      <c r="AG7" s="25"/>
      <c r="AQ7" s="255"/>
      <c r="BB7" s="255"/>
      <c r="BM7" s="255"/>
      <c r="BQ7" s="24"/>
      <c r="BR7" s="24"/>
      <c r="BS7" s="24"/>
      <c r="BT7" s="24"/>
      <c r="BU7" s="24"/>
      <c r="BV7" s="24"/>
      <c r="BW7" s="24"/>
      <c r="BX7" s="255"/>
    </row>
    <row r="8" spans="1:82" x14ac:dyDescent="0.35">
      <c r="A8" s="8" t="s">
        <v>389</v>
      </c>
      <c r="B8"/>
      <c r="C8"/>
      <c r="D8" s="25"/>
      <c r="E8" s="25"/>
      <c r="F8" s="23"/>
      <c r="H8" s="23">
        <v>4.3499999999999996</v>
      </c>
      <c r="I8" s="23">
        <v>10.199999999999999</v>
      </c>
      <c r="J8" s="23">
        <v>21.6</v>
      </c>
      <c r="K8" s="24">
        <v>16.8</v>
      </c>
      <c r="L8" s="24">
        <v>4.9000000000000004</v>
      </c>
      <c r="M8" s="23">
        <v>18.5</v>
      </c>
      <c r="N8" s="23">
        <v>22.1</v>
      </c>
      <c r="O8" s="108">
        <v>15.4</v>
      </c>
      <c r="P8" s="23"/>
      <c r="Q8" s="23"/>
      <c r="S8" s="36"/>
      <c r="U8" s="23"/>
      <c r="V8" s="23">
        <v>4.34</v>
      </c>
      <c r="W8" s="23">
        <v>10</v>
      </c>
      <c r="X8" s="24">
        <v>21.3</v>
      </c>
      <c r="Y8" s="23">
        <v>17.100000000000001</v>
      </c>
      <c r="Z8" s="23" t="s">
        <v>391</v>
      </c>
      <c r="AA8" s="23">
        <v>18.8</v>
      </c>
      <c r="AB8" s="23">
        <v>21.1</v>
      </c>
      <c r="AC8" s="108">
        <v>16.600000000000001</v>
      </c>
      <c r="AF8" s="23"/>
      <c r="AG8" s="25"/>
      <c r="AH8" s="23"/>
      <c r="AI8" s="23"/>
      <c r="AJ8" s="23">
        <v>4.38</v>
      </c>
      <c r="AK8" s="24">
        <v>11</v>
      </c>
      <c r="AL8" s="23">
        <v>23</v>
      </c>
      <c r="AM8" s="23">
        <v>17.600000000000001</v>
      </c>
      <c r="AN8" s="23">
        <v>4.3</v>
      </c>
      <c r="AO8" s="23">
        <v>18.899999999999999</v>
      </c>
      <c r="AP8" s="23">
        <v>21</v>
      </c>
      <c r="AQ8" s="108">
        <v>16.2</v>
      </c>
      <c r="AR8" s="23"/>
      <c r="AS8" s="23"/>
      <c r="AT8" s="23"/>
      <c r="AU8" s="24">
        <v>4.3499999999999996</v>
      </c>
      <c r="AV8" s="23">
        <v>12.5</v>
      </c>
      <c r="AW8" s="24">
        <v>23.9</v>
      </c>
      <c r="AX8" s="24">
        <v>17</v>
      </c>
      <c r="AY8" s="24">
        <v>5.0999999999999996</v>
      </c>
      <c r="AZ8" s="24">
        <v>20.100000000000001</v>
      </c>
      <c r="BA8" s="24">
        <v>21.4</v>
      </c>
      <c r="BB8" s="255">
        <v>15.3</v>
      </c>
      <c r="BC8" s="23"/>
      <c r="BD8" s="23"/>
      <c r="BF8" s="23">
        <v>4.43</v>
      </c>
      <c r="BG8" s="24">
        <v>11.4</v>
      </c>
      <c r="BH8" s="23">
        <v>23.1</v>
      </c>
      <c r="BI8" s="23">
        <v>16.899999999999999</v>
      </c>
      <c r="BJ8" s="23">
        <v>5.5</v>
      </c>
      <c r="BK8" s="23">
        <v>18.899999999999999</v>
      </c>
      <c r="BL8" s="23">
        <v>21.2</v>
      </c>
      <c r="BM8" s="108">
        <v>16.5</v>
      </c>
      <c r="BN8" s="23"/>
      <c r="BO8" s="1"/>
      <c r="BP8" s="1"/>
      <c r="BQ8" s="24">
        <v>4.4800000000000004</v>
      </c>
      <c r="BR8" s="24">
        <v>11.4</v>
      </c>
      <c r="BS8" s="24">
        <v>23.7</v>
      </c>
      <c r="BT8" s="24">
        <v>18.5</v>
      </c>
      <c r="BU8" s="24">
        <v>7.2</v>
      </c>
      <c r="BV8" s="24">
        <v>22.2</v>
      </c>
      <c r="BW8" s="24">
        <v>22.3</v>
      </c>
      <c r="BX8" s="255">
        <v>17</v>
      </c>
      <c r="BY8" s="121">
        <f>AVERAGE(L8,AN8,AY8,BJ8,BU8)</f>
        <v>5.3999999999999995</v>
      </c>
      <c r="BZ8"/>
      <c r="CA8"/>
      <c r="CB8" s="121">
        <f t="shared" ref="CB8:CD10" si="0">AVERAGE(M8,AA8,AO8,AZ8,BK8,BV8)</f>
        <v>19.566666666666666</v>
      </c>
      <c r="CC8" s="121">
        <f t="shared" si="0"/>
        <v>21.516666666666666</v>
      </c>
      <c r="CD8" s="121">
        <f t="shared" si="0"/>
        <v>16.166666666666668</v>
      </c>
    </row>
    <row r="9" spans="1:82" x14ac:dyDescent="0.35">
      <c r="A9" s="8" t="s">
        <v>20</v>
      </c>
      <c r="B9"/>
      <c r="C9"/>
      <c r="D9" s="25"/>
      <c r="E9" s="25"/>
      <c r="F9" s="23"/>
      <c r="H9" s="23">
        <v>7.21</v>
      </c>
      <c r="I9" s="23">
        <v>8.34</v>
      </c>
      <c r="J9" s="23">
        <v>7.26</v>
      </c>
      <c r="K9" s="24">
        <v>7.72</v>
      </c>
      <c r="L9" s="24">
        <v>7.72</v>
      </c>
      <c r="M9" s="23">
        <v>7.95</v>
      </c>
      <c r="N9" s="23">
        <v>7.69</v>
      </c>
      <c r="O9" s="108">
        <v>8.3699999999999992</v>
      </c>
      <c r="P9" s="23"/>
      <c r="Q9" s="23"/>
      <c r="S9" s="36"/>
      <c r="U9" s="23"/>
      <c r="V9" s="23">
        <v>7.57</v>
      </c>
      <c r="W9" s="23">
        <v>7.96</v>
      </c>
      <c r="X9" s="24">
        <v>7.42</v>
      </c>
      <c r="Y9" s="23">
        <v>7.72</v>
      </c>
      <c r="Z9" s="23">
        <v>7.44</v>
      </c>
      <c r="AA9" s="23">
        <v>7.71</v>
      </c>
      <c r="AB9" s="23">
        <v>7.58</v>
      </c>
      <c r="AC9" s="108">
        <v>8.48</v>
      </c>
      <c r="AF9" s="23"/>
      <c r="AG9" s="25"/>
      <c r="AH9" s="23"/>
      <c r="AI9" s="23"/>
      <c r="AJ9" s="23">
        <v>7.69</v>
      </c>
      <c r="AK9" s="24">
        <v>7.92</v>
      </c>
      <c r="AL9" s="23">
        <v>7.58</v>
      </c>
      <c r="AM9" s="23">
        <v>7.72</v>
      </c>
      <c r="AN9" s="23">
        <v>7.44</v>
      </c>
      <c r="AO9" s="23">
        <v>7.89</v>
      </c>
      <c r="AP9" s="23">
        <v>7.58</v>
      </c>
      <c r="AQ9" s="108">
        <v>8.4600000000000009</v>
      </c>
      <c r="AR9" s="23"/>
      <c r="AS9" s="23"/>
      <c r="AT9" s="23"/>
      <c r="AU9" s="24">
        <v>7.7</v>
      </c>
      <c r="AV9" s="23">
        <v>8.06</v>
      </c>
      <c r="AW9" s="24">
        <v>7.58</v>
      </c>
      <c r="AX9" s="24">
        <v>7.7</v>
      </c>
      <c r="AY9" s="24">
        <v>7.46</v>
      </c>
      <c r="AZ9" s="24">
        <v>7.58</v>
      </c>
      <c r="BA9" s="24">
        <v>8.08</v>
      </c>
      <c r="BB9" s="255">
        <v>8.33</v>
      </c>
      <c r="BC9" s="23"/>
      <c r="BD9" s="23"/>
      <c r="BF9" s="23">
        <v>7.82</v>
      </c>
      <c r="BG9" s="24">
        <v>7.9</v>
      </c>
      <c r="BH9" s="23">
        <v>7.68</v>
      </c>
      <c r="BI9" s="23">
        <v>7.72</v>
      </c>
      <c r="BJ9" s="23">
        <v>7.47</v>
      </c>
      <c r="BK9" s="23">
        <v>7.82</v>
      </c>
      <c r="BL9" s="23">
        <v>7.42</v>
      </c>
      <c r="BM9" s="108">
        <v>8.43</v>
      </c>
      <c r="BN9" s="23"/>
      <c r="BO9" s="1"/>
      <c r="BP9" s="1"/>
      <c r="BQ9" s="208">
        <v>7.97</v>
      </c>
      <c r="BR9" s="208">
        <v>7.85</v>
      </c>
      <c r="BS9" s="24">
        <v>7.69</v>
      </c>
      <c r="BT9" s="24">
        <v>8.3000000000000007</v>
      </c>
      <c r="BU9" s="24">
        <v>7.44</v>
      </c>
      <c r="BV9" s="24">
        <v>7.76</v>
      </c>
      <c r="BW9" s="24">
        <v>7.96</v>
      </c>
      <c r="BX9" s="255">
        <v>8.4</v>
      </c>
      <c r="BY9" s="121">
        <f>AVERAGE(L9,Z9,AN9,AY9,BJ9,BU9)</f>
        <v>7.4950000000000001</v>
      </c>
      <c r="BZ9"/>
      <c r="CA9"/>
      <c r="CB9" s="121">
        <f t="shared" si="0"/>
        <v>7.7850000000000001</v>
      </c>
      <c r="CC9" s="121">
        <f t="shared" si="0"/>
        <v>7.7183333333333337</v>
      </c>
      <c r="CD9" s="121">
        <f t="shared" si="0"/>
        <v>8.4116666666666671</v>
      </c>
    </row>
    <row r="10" spans="1:82" x14ac:dyDescent="0.35">
      <c r="A10" s="8" t="s">
        <v>451</v>
      </c>
      <c r="B10"/>
      <c r="C10"/>
      <c r="D10" s="25"/>
      <c r="E10" s="25"/>
      <c r="F10" s="23"/>
      <c r="H10" s="23">
        <v>501</v>
      </c>
      <c r="I10" s="23">
        <v>878</v>
      </c>
      <c r="J10" s="23">
        <v>844</v>
      </c>
      <c r="K10" s="24">
        <v>449</v>
      </c>
      <c r="L10" s="24">
        <v>980</v>
      </c>
      <c r="M10" s="35">
        <v>1223</v>
      </c>
      <c r="N10" s="35">
        <v>1012</v>
      </c>
      <c r="O10" s="108">
        <v>745</v>
      </c>
      <c r="P10" s="23"/>
      <c r="Q10" s="23"/>
      <c r="S10" s="36"/>
      <c r="U10" s="23"/>
      <c r="V10" s="23">
        <v>613</v>
      </c>
      <c r="W10" s="23">
        <v>877</v>
      </c>
      <c r="X10" s="24">
        <v>886</v>
      </c>
      <c r="Y10" s="23">
        <v>448</v>
      </c>
      <c r="Z10" s="23">
        <v>858</v>
      </c>
      <c r="AA10" s="35">
        <v>1202</v>
      </c>
      <c r="AB10" s="35">
        <v>1059</v>
      </c>
      <c r="AC10" s="108">
        <v>746</v>
      </c>
      <c r="AF10" s="23"/>
      <c r="AG10" s="25"/>
      <c r="AH10" s="23"/>
      <c r="AI10" s="23"/>
      <c r="AJ10" s="23">
        <v>650</v>
      </c>
      <c r="AK10" s="24">
        <v>878</v>
      </c>
      <c r="AL10" s="23">
        <v>839</v>
      </c>
      <c r="AM10" s="23">
        <v>450</v>
      </c>
      <c r="AN10" s="23">
        <v>785</v>
      </c>
      <c r="AO10" s="35">
        <v>1221</v>
      </c>
      <c r="AP10" s="35">
        <v>1147</v>
      </c>
      <c r="AQ10" s="108">
        <v>746</v>
      </c>
      <c r="AR10" s="23"/>
      <c r="AS10" s="23"/>
      <c r="AT10" s="23"/>
      <c r="AU10" s="24">
        <v>678</v>
      </c>
      <c r="AV10" s="23">
        <v>881</v>
      </c>
      <c r="AW10" s="24">
        <v>850</v>
      </c>
      <c r="AX10" s="24">
        <v>457</v>
      </c>
      <c r="AY10" s="24">
        <v>781</v>
      </c>
      <c r="AZ10" s="35">
        <v>1210</v>
      </c>
      <c r="BA10" s="35">
        <v>1014</v>
      </c>
      <c r="BB10" s="255">
        <v>741</v>
      </c>
      <c r="BC10" s="23"/>
      <c r="BD10" s="23"/>
      <c r="BF10" s="23">
        <v>686</v>
      </c>
      <c r="BG10" s="24">
        <v>888</v>
      </c>
      <c r="BH10" s="23">
        <v>887</v>
      </c>
      <c r="BI10" s="23">
        <v>454</v>
      </c>
      <c r="BJ10" s="23">
        <v>791</v>
      </c>
      <c r="BK10" s="35">
        <v>1204</v>
      </c>
      <c r="BL10" s="35">
        <v>1037</v>
      </c>
      <c r="BM10" s="108">
        <v>743</v>
      </c>
      <c r="BN10" s="23"/>
      <c r="BO10" s="1"/>
      <c r="BP10" s="1"/>
      <c r="BQ10" s="208">
        <v>710</v>
      </c>
      <c r="BR10" s="208">
        <v>895</v>
      </c>
      <c r="BS10" s="24">
        <v>944</v>
      </c>
      <c r="BT10" s="251">
        <v>200</v>
      </c>
      <c r="BU10" s="24">
        <v>802</v>
      </c>
      <c r="BV10" s="35">
        <v>1389</v>
      </c>
      <c r="BW10" s="35">
        <v>1539</v>
      </c>
      <c r="BX10" s="279">
        <v>3890</v>
      </c>
      <c r="BY10" s="123">
        <f>AVERAGE(L10,Z10,AN10,AY10,BJ10,BU10)</f>
        <v>832.83333333333337</v>
      </c>
      <c r="BZ10"/>
      <c r="CA10"/>
      <c r="CB10" s="123">
        <f t="shared" si="0"/>
        <v>1241.5</v>
      </c>
      <c r="CC10" s="123">
        <f t="shared" si="0"/>
        <v>1134.6666666666667</v>
      </c>
      <c r="CD10" s="123">
        <f>AVERAGE(O10,AC10,AQ10,BB10,BM10)</f>
        <v>744.2</v>
      </c>
    </row>
    <row r="11" spans="1:82" x14ac:dyDescent="0.35">
      <c r="A11" s="8" t="s">
        <v>417</v>
      </c>
      <c r="B11"/>
      <c r="C11"/>
      <c r="D11" s="25"/>
      <c r="E11" s="25"/>
      <c r="F11" s="23"/>
      <c r="H11" s="23">
        <v>131</v>
      </c>
      <c r="I11" s="23">
        <v>98.6</v>
      </c>
      <c r="J11" s="23">
        <v>31</v>
      </c>
      <c r="K11" s="24">
        <v>42.7</v>
      </c>
      <c r="L11" s="24">
        <v>97.6</v>
      </c>
      <c r="M11" s="23">
        <v>-26.1</v>
      </c>
      <c r="N11" s="251">
        <v>3320</v>
      </c>
      <c r="O11" s="108">
        <v>-1.2</v>
      </c>
      <c r="P11" s="23"/>
      <c r="Q11" s="23"/>
      <c r="S11" s="36"/>
      <c r="U11" s="23"/>
      <c r="V11" s="23">
        <v>86.2</v>
      </c>
      <c r="W11" s="23">
        <v>93.4</v>
      </c>
      <c r="X11" s="24">
        <v>88.4</v>
      </c>
      <c r="Y11" s="23">
        <v>81.3</v>
      </c>
      <c r="Z11" s="23">
        <v>54.6</v>
      </c>
      <c r="AA11" s="35">
        <v>-17.899999999999999</v>
      </c>
      <c r="AB11" s="35">
        <v>-125.5</v>
      </c>
      <c r="AC11" s="108">
        <v>-51.3</v>
      </c>
      <c r="AF11" s="23"/>
      <c r="AG11" s="25"/>
      <c r="AH11" s="23"/>
      <c r="AI11" s="23"/>
      <c r="AJ11" s="23">
        <v>51.2</v>
      </c>
      <c r="AK11" s="24">
        <v>42.6</v>
      </c>
      <c r="AL11" s="23">
        <v>78.7</v>
      </c>
      <c r="AM11" s="23">
        <v>15.4</v>
      </c>
      <c r="AN11" s="23">
        <v>-116.7</v>
      </c>
      <c r="AO11" s="23">
        <v>12.8</v>
      </c>
      <c r="AP11" s="35">
        <v>-112.7</v>
      </c>
      <c r="AQ11" s="108">
        <v>12.4</v>
      </c>
      <c r="AR11" s="23"/>
      <c r="AS11" s="23"/>
      <c r="AT11" s="23"/>
      <c r="AU11" s="24">
        <v>50.6</v>
      </c>
      <c r="AV11" s="23">
        <v>96</v>
      </c>
      <c r="AW11" s="24">
        <v>81.3</v>
      </c>
      <c r="AX11" s="24">
        <v>37.4</v>
      </c>
      <c r="AY11" s="24">
        <v>-3.8</v>
      </c>
      <c r="AZ11" s="24">
        <v>-117.1</v>
      </c>
      <c r="BA11" s="24">
        <v>53.8</v>
      </c>
      <c r="BB11" s="255">
        <v>-35.299999999999997</v>
      </c>
      <c r="BC11" s="23"/>
      <c r="BD11" s="23"/>
      <c r="BF11" s="23">
        <v>57.2</v>
      </c>
      <c r="BG11" s="24">
        <v>91.6</v>
      </c>
      <c r="BH11" s="23">
        <v>72.900000000000006</v>
      </c>
      <c r="BI11" s="23">
        <v>-102</v>
      </c>
      <c r="BJ11" s="23">
        <v>-16.2</v>
      </c>
      <c r="BK11" s="23">
        <v>21.4</v>
      </c>
      <c r="BL11" s="23">
        <v>185</v>
      </c>
      <c r="BM11" s="108">
        <v>-20.5</v>
      </c>
      <c r="BN11" s="23"/>
      <c r="BO11" s="1"/>
      <c r="BP11" s="1"/>
      <c r="BQ11" s="208"/>
      <c r="BR11" s="208">
        <v>103.8</v>
      </c>
      <c r="BS11" s="24">
        <v>87.4</v>
      </c>
      <c r="BT11" s="24">
        <v>51.9</v>
      </c>
      <c r="BU11" s="24">
        <v>-112.3</v>
      </c>
      <c r="BV11" s="24">
        <v>21</v>
      </c>
      <c r="BW11" s="24">
        <v>96.8</v>
      </c>
      <c r="BX11" s="255">
        <v>-41.3</v>
      </c>
      <c r="BY11" s="121">
        <f>AVERAGE(L11,Z11,AN11,AY11,BJ11,BU11)</f>
        <v>-16.133333333333336</v>
      </c>
      <c r="BZ11"/>
      <c r="CA11"/>
      <c r="CB11" s="123">
        <f>AVERAGE(M11,AA11,AO11,AZ11,BK11,BV11)</f>
        <v>-17.649999999999995</v>
      </c>
      <c r="CC11" s="123">
        <f>AVERAGE(AB11,AP11,BA11,BL11,BW11)</f>
        <v>19.480000000000004</v>
      </c>
      <c r="CD11" s="123">
        <f>AVERAGE(O11,AC11,AQ11,BB11,BM11,BX11)</f>
        <v>-22.866666666666664</v>
      </c>
    </row>
    <row r="12" spans="1:82" ht="16.5" x14ac:dyDescent="0.45">
      <c r="A12" s="13" t="s">
        <v>388</v>
      </c>
      <c r="D12" s="104"/>
      <c r="E12" s="25"/>
      <c r="H12" s="23">
        <v>2.0299999999999998</v>
      </c>
      <c r="I12" s="23">
        <v>13.3</v>
      </c>
      <c r="J12" s="111">
        <v>3.73</v>
      </c>
      <c r="K12" s="111">
        <v>2.4700000000000002</v>
      </c>
      <c r="L12" s="111">
        <v>5.08</v>
      </c>
      <c r="M12" s="111">
        <v>4.26</v>
      </c>
      <c r="N12" s="111">
        <v>3.13</v>
      </c>
      <c r="O12" s="160">
        <v>4.3499999999999996</v>
      </c>
      <c r="S12" s="25"/>
      <c r="V12" s="23">
        <v>2.64</v>
      </c>
      <c r="W12" s="23">
        <v>15.02</v>
      </c>
      <c r="X12" s="23">
        <v>6.16</v>
      </c>
      <c r="Y12" s="23">
        <v>2.89</v>
      </c>
      <c r="Z12" s="23">
        <v>5.24</v>
      </c>
      <c r="AA12" s="23">
        <v>3.69</v>
      </c>
      <c r="AB12" s="111">
        <v>2.52</v>
      </c>
      <c r="AC12" s="160">
        <v>8.44</v>
      </c>
      <c r="AG12" s="25"/>
      <c r="AJ12" s="23">
        <v>2.5099999999999998</v>
      </c>
      <c r="AK12" s="23">
        <v>15.94</v>
      </c>
      <c r="AL12" s="23">
        <v>6.74</v>
      </c>
      <c r="AM12" s="23">
        <v>3.35</v>
      </c>
      <c r="AN12" s="23">
        <v>4.6500000000000004</v>
      </c>
      <c r="AO12" s="23">
        <v>3.12</v>
      </c>
      <c r="AP12" s="111">
        <v>2.2400000000000002</v>
      </c>
      <c r="AQ12" s="108">
        <v>7.56</v>
      </c>
      <c r="AU12" s="23">
        <v>2.58</v>
      </c>
      <c r="AV12" s="23">
        <v>16.57</v>
      </c>
      <c r="AW12" s="23">
        <v>8.25</v>
      </c>
      <c r="AX12" s="23">
        <v>3.63</v>
      </c>
      <c r="AY12" s="23">
        <v>5.18</v>
      </c>
      <c r="AZ12" s="42">
        <v>5.16</v>
      </c>
      <c r="BA12" s="23">
        <v>2.84</v>
      </c>
      <c r="BB12" s="269">
        <v>6.48</v>
      </c>
      <c r="BF12" s="23">
        <v>3.27</v>
      </c>
      <c r="BG12" s="23">
        <v>15.84</v>
      </c>
      <c r="BH12" s="23">
        <v>9.51</v>
      </c>
      <c r="BI12" s="23">
        <v>3.59</v>
      </c>
      <c r="BJ12" s="23">
        <v>5.8</v>
      </c>
      <c r="BK12" s="42">
        <v>3.94</v>
      </c>
      <c r="BL12" s="23">
        <v>2.72</v>
      </c>
      <c r="BM12" s="269">
        <v>7.8</v>
      </c>
      <c r="BQ12" s="23">
        <v>3.4</v>
      </c>
      <c r="BR12" s="23">
        <v>11.99</v>
      </c>
      <c r="BS12" s="23">
        <v>5.43</v>
      </c>
      <c r="BT12" s="23">
        <v>6.72</v>
      </c>
      <c r="BU12" s="23">
        <v>3.41</v>
      </c>
      <c r="BV12" s="23">
        <v>6.21</v>
      </c>
      <c r="BW12" s="23">
        <v>4.67</v>
      </c>
      <c r="BX12" s="108">
        <v>4.03</v>
      </c>
      <c r="BY12" s="121">
        <f>AVERAGE(L12,Z12,AN12,AY12,BJ12,BU12)</f>
        <v>4.8933333333333335</v>
      </c>
      <c r="CB12" s="121">
        <f>AVERAGE(M12,AA12,AO12,AZ12,BK12,BV12)</f>
        <v>4.3966666666666674</v>
      </c>
      <c r="CC12" s="121">
        <f>AVERAGE(N12,AB12,AP12,BA12,BL12,BW12)</f>
        <v>3.02</v>
      </c>
      <c r="CD12" s="121">
        <f>AVERAGE(O12,AC12,AQ12,BB12,BM12,BX12)</f>
        <v>6.4433333333333325</v>
      </c>
    </row>
    <row r="13" spans="1:82" x14ac:dyDescent="0.35">
      <c r="A13" s="12" t="s">
        <v>28</v>
      </c>
      <c r="B13" s="32"/>
      <c r="C13" s="32"/>
      <c r="D13" s="107"/>
      <c r="E13" s="33"/>
      <c r="F13" s="32"/>
      <c r="G13" s="32"/>
      <c r="H13" s="32"/>
      <c r="I13" s="152"/>
      <c r="J13" s="45"/>
      <c r="K13" s="152"/>
      <c r="L13" s="152"/>
      <c r="M13" s="152"/>
      <c r="N13" s="152"/>
      <c r="O13" s="151"/>
      <c r="P13" s="32"/>
      <c r="Q13" s="32"/>
      <c r="R13" s="32"/>
      <c r="S13" s="33"/>
      <c r="T13" s="32"/>
      <c r="U13" s="32"/>
      <c r="V13" s="33"/>
      <c r="W13" s="152"/>
      <c r="X13" s="152"/>
      <c r="Y13" s="152"/>
      <c r="Z13" s="152"/>
      <c r="AA13" s="152"/>
      <c r="AB13" s="152"/>
      <c r="AC13" s="255"/>
      <c r="AD13" s="32"/>
      <c r="AE13" s="32"/>
      <c r="AF13" s="32"/>
      <c r="AG13" s="33"/>
      <c r="AH13" s="32"/>
      <c r="AI13" s="32"/>
      <c r="AJ13" s="32"/>
      <c r="AK13" s="152"/>
      <c r="AL13" s="152"/>
      <c r="AM13" s="152"/>
      <c r="AN13" s="152"/>
      <c r="AO13" s="152"/>
      <c r="AP13" s="152"/>
      <c r="AQ13" s="151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4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4"/>
      <c r="BN13" s="32"/>
      <c r="BO13" s="32"/>
      <c r="BP13" s="32"/>
      <c r="BQ13" s="32"/>
      <c r="BR13" s="152"/>
      <c r="BS13" s="152"/>
      <c r="BT13" s="152"/>
      <c r="BU13" s="152"/>
      <c r="BV13" s="152"/>
      <c r="BW13" s="152"/>
      <c r="BX13" s="151"/>
    </row>
    <row r="14" spans="1:82" x14ac:dyDescent="0.35">
      <c r="A14" s="8" t="s">
        <v>29</v>
      </c>
      <c r="B14" s="24">
        <v>130</v>
      </c>
      <c r="C14" s="24">
        <v>2</v>
      </c>
      <c r="D14" s="104" t="s">
        <v>30</v>
      </c>
      <c r="E14" s="36">
        <v>0.28999999999999998</v>
      </c>
      <c r="F14" s="23">
        <v>0.2</v>
      </c>
      <c r="G14" s="23" t="s">
        <v>113</v>
      </c>
      <c r="H14" s="112">
        <v>4.1000000000000002E-2</v>
      </c>
      <c r="I14" s="112" t="s">
        <v>360</v>
      </c>
      <c r="J14" s="112">
        <v>3.3000000000000002E-2</v>
      </c>
      <c r="K14" s="112">
        <v>6.0999999999999999E-2</v>
      </c>
      <c r="L14" s="112" t="s">
        <v>113</v>
      </c>
      <c r="M14" s="112">
        <v>1.6</v>
      </c>
      <c r="N14" s="112">
        <v>1.7</v>
      </c>
      <c r="O14" s="114">
        <v>0.02</v>
      </c>
      <c r="P14" s="23">
        <v>36</v>
      </c>
      <c r="Q14" s="23">
        <v>12</v>
      </c>
      <c r="R14" s="23">
        <v>3.5000000000000003E-2</v>
      </c>
      <c r="S14" s="115">
        <v>57</v>
      </c>
      <c r="T14" s="112">
        <v>46</v>
      </c>
      <c r="U14" s="112">
        <v>3.7999999999999999E-2</v>
      </c>
      <c r="V14" s="115">
        <v>1</v>
      </c>
      <c r="W14" s="112">
        <v>1</v>
      </c>
      <c r="X14" s="112">
        <v>0.28000000000000003</v>
      </c>
      <c r="Y14" s="112">
        <v>0.81</v>
      </c>
      <c r="Z14" s="112" t="s">
        <v>113</v>
      </c>
      <c r="AA14" s="112">
        <v>0.12</v>
      </c>
      <c r="AB14" s="112">
        <v>4.5999999999999999E-2</v>
      </c>
      <c r="AC14" s="267">
        <v>3.3000000000000002E-2</v>
      </c>
      <c r="AD14" s="23">
        <v>91</v>
      </c>
      <c r="AE14" s="23">
        <v>57</v>
      </c>
      <c r="AF14" s="23">
        <v>4.7E-2</v>
      </c>
      <c r="AG14" s="115">
        <v>60</v>
      </c>
      <c r="AH14" s="112">
        <v>60</v>
      </c>
      <c r="AI14" s="112">
        <v>4.3999999999999997E-2</v>
      </c>
      <c r="AJ14" s="113">
        <v>11</v>
      </c>
      <c r="AK14" s="112" t="s">
        <v>360</v>
      </c>
      <c r="AL14" s="113">
        <v>3.2</v>
      </c>
      <c r="AM14" s="113">
        <v>33</v>
      </c>
      <c r="AN14" s="113">
        <v>6.8</v>
      </c>
      <c r="AO14" s="276">
        <v>6.6</v>
      </c>
      <c r="AP14" s="112">
        <v>0.04</v>
      </c>
      <c r="AQ14" s="267">
        <v>0.41</v>
      </c>
      <c r="AR14" s="112">
        <v>53</v>
      </c>
      <c r="AS14" s="112">
        <v>54</v>
      </c>
      <c r="AT14" s="112">
        <v>2.9000000000000001E-2</v>
      </c>
      <c r="AU14" s="113">
        <v>10</v>
      </c>
      <c r="AV14" s="112" t="s">
        <v>360</v>
      </c>
      <c r="AW14" s="112" t="s">
        <v>113</v>
      </c>
      <c r="AX14" s="113">
        <v>8.5</v>
      </c>
      <c r="AY14" s="113">
        <v>10</v>
      </c>
      <c r="AZ14" s="235">
        <v>1.9</v>
      </c>
      <c r="BA14" s="112">
        <v>3.6999999999999998E-2</v>
      </c>
      <c r="BB14" s="270">
        <v>0.02</v>
      </c>
      <c r="BC14" s="112">
        <v>52</v>
      </c>
      <c r="BD14" s="112">
        <v>53</v>
      </c>
      <c r="BE14" s="112">
        <v>4.7E-2</v>
      </c>
      <c r="BF14" s="113">
        <v>6.1</v>
      </c>
      <c r="BG14" s="112" t="s">
        <v>360</v>
      </c>
      <c r="BH14" s="112" t="s">
        <v>113</v>
      </c>
      <c r="BI14" s="113">
        <v>3.3</v>
      </c>
      <c r="BJ14" s="113">
        <v>9.6</v>
      </c>
      <c r="BK14" s="113">
        <v>8.4</v>
      </c>
      <c r="BL14" s="112">
        <v>2.3E-2</v>
      </c>
      <c r="BM14" s="114">
        <v>0.71</v>
      </c>
      <c r="BN14" s="112">
        <v>3.3</v>
      </c>
      <c r="BO14" s="112">
        <v>26</v>
      </c>
      <c r="BP14" s="112">
        <v>0.02</v>
      </c>
      <c r="BQ14" s="112">
        <v>0.47</v>
      </c>
      <c r="BR14" s="112" t="s">
        <v>360</v>
      </c>
      <c r="BS14" s="112" t="s">
        <v>113</v>
      </c>
      <c r="BT14" s="112" t="s">
        <v>113</v>
      </c>
      <c r="BU14" s="113">
        <v>2.7</v>
      </c>
      <c r="BV14" s="112">
        <v>1.4</v>
      </c>
      <c r="BW14" s="112" t="s">
        <v>411</v>
      </c>
      <c r="BX14" s="114">
        <v>0.02</v>
      </c>
      <c r="CA14" s="123"/>
    </row>
    <row r="15" spans="1:82" x14ac:dyDescent="0.35">
      <c r="A15" s="8" t="s">
        <v>209</v>
      </c>
      <c r="B15" s="24">
        <v>0.1</v>
      </c>
      <c r="D15" s="104" t="s">
        <v>30</v>
      </c>
      <c r="E15" s="36">
        <v>6.4000000000000001E-2</v>
      </c>
      <c r="F15" s="23">
        <v>0.1</v>
      </c>
      <c r="G15" s="23">
        <v>3.3000000000000002E-2</v>
      </c>
      <c r="H15" s="112" t="s">
        <v>349</v>
      </c>
      <c r="I15" s="112" t="s">
        <v>112</v>
      </c>
      <c r="J15" s="112" t="s">
        <v>112</v>
      </c>
      <c r="K15" s="112">
        <v>1.2E-2</v>
      </c>
      <c r="L15" s="112" t="s">
        <v>112</v>
      </c>
      <c r="M15" s="112" t="s">
        <v>103</v>
      </c>
      <c r="N15" s="112">
        <v>2.1000000000000001E-2</v>
      </c>
      <c r="O15" s="114">
        <v>0.01</v>
      </c>
      <c r="P15" s="23">
        <v>1.1000000000000001</v>
      </c>
      <c r="Q15" s="23">
        <v>0.44</v>
      </c>
      <c r="R15" s="23">
        <v>0.73</v>
      </c>
      <c r="S15" s="117">
        <v>2</v>
      </c>
      <c r="T15" s="113">
        <v>0.5</v>
      </c>
      <c r="U15" s="113">
        <v>0.42</v>
      </c>
      <c r="V15" s="115">
        <v>2.1000000000000001E-2</v>
      </c>
      <c r="W15" s="112">
        <v>2.5999999999999999E-2</v>
      </c>
      <c r="X15" s="112">
        <v>2.5000000000000001E-2</v>
      </c>
      <c r="Y15" s="113">
        <v>0.15</v>
      </c>
      <c r="Z15" s="112" t="s">
        <v>112</v>
      </c>
      <c r="AA15" s="112">
        <v>6.3E-2</v>
      </c>
      <c r="AB15" s="167">
        <v>0.18</v>
      </c>
      <c r="AC15" s="114">
        <v>2.3E-2</v>
      </c>
      <c r="AD15" s="23">
        <v>4.0999999999999996</v>
      </c>
      <c r="AE15" s="23">
        <v>0.75</v>
      </c>
      <c r="AF15" s="23">
        <v>0.83</v>
      </c>
      <c r="AG15" s="113">
        <v>1.2</v>
      </c>
      <c r="AH15" s="113">
        <v>0.86</v>
      </c>
      <c r="AI15" s="113">
        <v>0.56999999999999995</v>
      </c>
      <c r="AJ15" s="113">
        <v>9.5000000000000001E-2</v>
      </c>
      <c r="AK15" s="112">
        <v>1.4E-2</v>
      </c>
      <c r="AL15" s="112">
        <v>3.3000000000000002E-2</v>
      </c>
      <c r="AM15" s="113">
        <v>0.4</v>
      </c>
      <c r="AN15" s="112" t="s">
        <v>128</v>
      </c>
      <c r="AO15" s="113">
        <v>0.1</v>
      </c>
      <c r="AP15" s="113">
        <v>0.16</v>
      </c>
      <c r="AQ15" s="165">
        <v>0.13</v>
      </c>
      <c r="AR15" s="113">
        <v>1.2</v>
      </c>
      <c r="AS15" s="113">
        <v>0.87</v>
      </c>
      <c r="AT15" s="113">
        <v>0.22</v>
      </c>
      <c r="AU15" s="113">
        <v>0.13</v>
      </c>
      <c r="AV15" s="112">
        <v>6.6000000000000003E-2</v>
      </c>
      <c r="AW15" s="112">
        <v>2.9000000000000001E-2</v>
      </c>
      <c r="AX15" s="113">
        <v>0.32</v>
      </c>
      <c r="AY15" s="112">
        <v>6.2E-2</v>
      </c>
      <c r="AZ15" s="113">
        <v>0.11</v>
      </c>
      <c r="BA15" s="113">
        <v>0.14000000000000001</v>
      </c>
      <c r="BB15" s="271">
        <v>0.01</v>
      </c>
      <c r="BC15" s="113">
        <v>1.3</v>
      </c>
      <c r="BD15" s="113">
        <v>1.6</v>
      </c>
      <c r="BE15" s="113">
        <v>0.2</v>
      </c>
      <c r="BF15" s="113">
        <v>0.17</v>
      </c>
      <c r="BG15" s="112">
        <v>1.4E-2</v>
      </c>
      <c r="BH15" s="112">
        <v>4.4999999999999998E-2</v>
      </c>
      <c r="BI15" s="112">
        <v>0.27</v>
      </c>
      <c r="BJ15" s="112">
        <v>7.4999999999999997E-2</v>
      </c>
      <c r="BK15" s="112">
        <v>8.5000000000000006E-2</v>
      </c>
      <c r="BL15" s="112">
        <v>7.1999999999999995E-2</v>
      </c>
      <c r="BM15" s="114">
        <v>0.02</v>
      </c>
      <c r="BN15" s="113">
        <v>0.48</v>
      </c>
      <c r="BO15" s="113">
        <v>1.5</v>
      </c>
      <c r="BP15" s="113">
        <v>0.15</v>
      </c>
      <c r="BQ15" s="113">
        <v>0.26</v>
      </c>
      <c r="BR15" s="112">
        <v>3.9E-2</v>
      </c>
      <c r="BS15" s="112" t="s">
        <v>406</v>
      </c>
      <c r="BT15" s="112" t="s">
        <v>406</v>
      </c>
      <c r="BU15" s="113">
        <v>0.17</v>
      </c>
      <c r="BV15" s="112">
        <v>6.3E-2</v>
      </c>
      <c r="BW15" s="112">
        <v>4.3999999999999997E-2</v>
      </c>
      <c r="BX15" s="114">
        <v>1.0999999999999999E-2</v>
      </c>
      <c r="BY15" s="1">
        <v>0.26</v>
      </c>
      <c r="BZ15" s="1">
        <f>Table22[[#This Row],[208-8]]/Table22[[#This Row],[Environmental quality standard maximum (MAC-MKN)*]]</f>
        <v>1.7</v>
      </c>
      <c r="CA15" s="1">
        <f>AVERAGE(Table22[[#This Row],[208-1]:[208-3]])/Table22[[#This Row],[Environmental quality standard maximum (MAC-MKN)*]]</f>
        <v>7.1</v>
      </c>
    </row>
    <row r="16" spans="1:82" x14ac:dyDescent="0.35">
      <c r="A16" s="8" t="s">
        <v>31</v>
      </c>
      <c r="B16" s="24" t="s">
        <v>108</v>
      </c>
      <c r="C16" s="24">
        <v>0.1</v>
      </c>
      <c r="D16" s="104" t="s">
        <v>30</v>
      </c>
      <c r="E16" s="36">
        <v>0.43</v>
      </c>
      <c r="F16" s="23">
        <v>0.25</v>
      </c>
      <c r="G16" s="23">
        <v>1.0999999999999999E-2</v>
      </c>
      <c r="H16" s="112">
        <v>8.5999999999999993E-2</v>
      </c>
      <c r="I16" s="112">
        <v>3.2000000000000001E-2</v>
      </c>
      <c r="J16" s="112">
        <v>0.05</v>
      </c>
      <c r="K16" s="112">
        <v>5.2999999999999999E-2</v>
      </c>
      <c r="L16" s="112">
        <v>1.6E-2</v>
      </c>
      <c r="M16" s="112">
        <v>1.9E-2</v>
      </c>
      <c r="N16" s="112">
        <v>4.8000000000000001E-2</v>
      </c>
      <c r="O16" s="114">
        <v>1.4E-2</v>
      </c>
      <c r="P16" s="23">
        <v>12</v>
      </c>
      <c r="Q16" s="23">
        <v>3.7</v>
      </c>
      <c r="R16" s="108" t="s">
        <v>112</v>
      </c>
      <c r="S16" s="117">
        <v>14</v>
      </c>
      <c r="T16" s="113">
        <v>3</v>
      </c>
      <c r="U16" s="112" t="s">
        <v>112</v>
      </c>
      <c r="V16" s="115">
        <v>7.2999999999999995E-2</v>
      </c>
      <c r="W16" s="113">
        <v>0.16</v>
      </c>
      <c r="X16" s="113">
        <v>0.11</v>
      </c>
      <c r="Y16" s="113">
        <v>0.6</v>
      </c>
      <c r="Z16" s="112" t="s">
        <v>112</v>
      </c>
      <c r="AA16" s="113">
        <v>0.75</v>
      </c>
      <c r="AB16" s="113">
        <v>0.13</v>
      </c>
      <c r="AC16" s="114">
        <v>5.8999999999999997E-2</v>
      </c>
      <c r="AD16" s="23">
        <v>25</v>
      </c>
      <c r="AE16" s="23">
        <v>5.7</v>
      </c>
      <c r="AF16" s="23" t="s">
        <v>112</v>
      </c>
      <c r="AG16" s="117">
        <v>12</v>
      </c>
      <c r="AH16" s="113">
        <v>7.8</v>
      </c>
      <c r="AI16" s="112" t="s">
        <v>112</v>
      </c>
      <c r="AJ16" s="113">
        <v>0.68</v>
      </c>
      <c r="AK16" s="112">
        <v>0.01</v>
      </c>
      <c r="AL16" s="113">
        <v>0.18</v>
      </c>
      <c r="AM16" s="113">
        <v>2.1</v>
      </c>
      <c r="AN16" s="113">
        <v>0.11</v>
      </c>
      <c r="AO16" s="113">
        <v>0.56000000000000005</v>
      </c>
      <c r="AP16" s="112">
        <v>6.8000000000000005E-2</v>
      </c>
      <c r="AQ16" s="165">
        <v>0.95</v>
      </c>
      <c r="AR16" s="113">
        <v>11</v>
      </c>
      <c r="AS16" s="113">
        <v>6.9</v>
      </c>
      <c r="AT16" s="112" t="s">
        <v>112</v>
      </c>
      <c r="AU16" s="113">
        <v>0.73</v>
      </c>
      <c r="AV16" s="112">
        <v>2.3E-2</v>
      </c>
      <c r="AW16" s="112">
        <v>8.6999999999999994E-2</v>
      </c>
      <c r="AX16" s="113">
        <v>1.3</v>
      </c>
      <c r="AY16" s="113">
        <v>0.3</v>
      </c>
      <c r="AZ16" s="113">
        <v>0.31</v>
      </c>
      <c r="BA16" s="113">
        <v>0.15</v>
      </c>
      <c r="BB16" s="271">
        <v>0.01</v>
      </c>
      <c r="BC16" s="113">
        <v>12</v>
      </c>
      <c r="BD16" s="113">
        <v>9.8000000000000007</v>
      </c>
      <c r="BE16" s="112" t="s">
        <v>112</v>
      </c>
      <c r="BF16" s="113">
        <v>0.72</v>
      </c>
      <c r="BG16" s="112" t="s">
        <v>112</v>
      </c>
      <c r="BH16" s="113">
        <v>0.15</v>
      </c>
      <c r="BI16" s="113">
        <v>0.56999999999999995</v>
      </c>
      <c r="BJ16" s="113">
        <v>0.31</v>
      </c>
      <c r="BK16" s="113">
        <v>0.56000000000000005</v>
      </c>
      <c r="BL16" s="112">
        <v>4.7E-2</v>
      </c>
      <c r="BM16" s="114">
        <v>5.2999999999999999E-2</v>
      </c>
      <c r="BN16" s="113">
        <v>3.8</v>
      </c>
      <c r="BO16" s="113">
        <v>14</v>
      </c>
      <c r="BP16" s="112" t="s">
        <v>112</v>
      </c>
      <c r="BQ16" s="113">
        <v>0.33</v>
      </c>
      <c r="BR16" s="112">
        <v>0.01</v>
      </c>
      <c r="BS16" s="112" t="s">
        <v>112</v>
      </c>
      <c r="BT16" s="112" t="s">
        <v>112</v>
      </c>
      <c r="BU16" s="113">
        <v>0.51</v>
      </c>
      <c r="BV16" s="112">
        <v>0.06</v>
      </c>
      <c r="BW16" s="112" t="s">
        <v>349</v>
      </c>
      <c r="BX16" s="114">
        <v>0.01</v>
      </c>
      <c r="BY16" s="1">
        <v>0.73</v>
      </c>
      <c r="BZ16" s="1">
        <f>Table22[[#This Row],[208-8]]/Table22[[#This Row],[Environmental quality standard average (JG-MKN)*]]</f>
        <v>5.0999999999999996</v>
      </c>
      <c r="CA16" s="1">
        <f>AVERAGE(Table22[[#This Row],[208-1]:[208-3]])/Table22[[#This Row],[Environmental quality standard average (JG-MKN)*]]</f>
        <v>89</v>
      </c>
    </row>
    <row r="17" spans="1:80" x14ac:dyDescent="0.35">
      <c r="A17" s="8" t="s">
        <v>32</v>
      </c>
      <c r="B17" s="24">
        <v>0.12</v>
      </c>
      <c r="D17" s="104" t="s">
        <v>30</v>
      </c>
      <c r="E17" s="36">
        <v>0.19</v>
      </c>
      <c r="F17" s="23">
        <v>0.17</v>
      </c>
      <c r="G17" s="23">
        <v>1.5</v>
      </c>
      <c r="H17" s="112">
        <v>2.5000000000000001E-2</v>
      </c>
      <c r="I17" s="112">
        <v>6.4000000000000001E-2</v>
      </c>
      <c r="J17" s="112">
        <v>5.2999999999999999E-2</v>
      </c>
      <c r="K17" s="112">
        <v>8.5999999999999993E-2</v>
      </c>
      <c r="L17" s="112">
        <v>3.7999999999999999E-2</v>
      </c>
      <c r="M17" s="112">
        <v>0.11</v>
      </c>
      <c r="N17" s="112">
        <v>8.4000000000000005E-2</v>
      </c>
      <c r="O17" s="114">
        <v>2.5999999999999999E-2</v>
      </c>
      <c r="P17" s="23">
        <v>4.0999999999999996</v>
      </c>
      <c r="Q17" s="23">
        <v>1.5</v>
      </c>
      <c r="R17" s="23">
        <v>4.5999999999999996</v>
      </c>
      <c r="S17" s="117">
        <v>4.9000000000000004</v>
      </c>
      <c r="T17" s="113">
        <v>1.5</v>
      </c>
      <c r="U17" s="113">
        <v>4.9000000000000004</v>
      </c>
      <c r="V17" s="115">
        <v>0.11</v>
      </c>
      <c r="W17" s="113">
        <v>0.14000000000000001</v>
      </c>
      <c r="X17" s="112">
        <v>9.7000000000000003E-2</v>
      </c>
      <c r="Y17" s="113">
        <v>0.32</v>
      </c>
      <c r="Z17" s="112">
        <v>3.5999999999999997E-2</v>
      </c>
      <c r="AA17" s="113">
        <v>0.27</v>
      </c>
      <c r="AB17" s="113">
        <v>2.4</v>
      </c>
      <c r="AC17" s="114">
        <v>7.9000000000000001E-2</v>
      </c>
      <c r="AD17" s="23">
        <v>8.5</v>
      </c>
      <c r="AE17" s="23">
        <v>1.9</v>
      </c>
      <c r="AF17" s="23">
        <v>6.2</v>
      </c>
      <c r="AG17" s="117">
        <v>5.0999999999999996</v>
      </c>
      <c r="AH17" s="113">
        <v>2.5</v>
      </c>
      <c r="AI17" s="113">
        <v>6.9</v>
      </c>
      <c r="AJ17" s="113">
        <v>0.16</v>
      </c>
      <c r="AK17" s="113">
        <v>0.27</v>
      </c>
      <c r="AL17" s="112">
        <v>0.11</v>
      </c>
      <c r="AM17" s="113">
        <v>0.77</v>
      </c>
      <c r="AN17" s="112" t="s">
        <v>128</v>
      </c>
      <c r="AO17" s="113">
        <v>0.28999999999999998</v>
      </c>
      <c r="AP17" s="113">
        <v>2</v>
      </c>
      <c r="AQ17" s="165">
        <v>0.31</v>
      </c>
      <c r="AR17" s="113">
        <v>5.0999999999999996</v>
      </c>
      <c r="AS17" s="113">
        <v>1.9</v>
      </c>
      <c r="AT17" s="113">
        <v>7.1</v>
      </c>
      <c r="AU17" s="113">
        <v>0.23</v>
      </c>
      <c r="AV17" s="113">
        <v>0.13</v>
      </c>
      <c r="AW17" s="113">
        <v>0.18</v>
      </c>
      <c r="AX17" s="113">
        <v>0.7</v>
      </c>
      <c r="AY17" s="113">
        <v>0.16</v>
      </c>
      <c r="AZ17" s="113">
        <v>1.2</v>
      </c>
      <c r="BA17" s="113">
        <v>1.5</v>
      </c>
      <c r="BB17" s="165">
        <v>0.15</v>
      </c>
      <c r="BC17" s="113">
        <v>5.7</v>
      </c>
      <c r="BD17" s="113">
        <v>6</v>
      </c>
      <c r="BE17" s="113">
        <v>5.7</v>
      </c>
      <c r="BF17" s="113">
        <v>0.37</v>
      </c>
      <c r="BG17" s="113">
        <v>0.6</v>
      </c>
      <c r="BH17" s="113">
        <v>0.19</v>
      </c>
      <c r="BI17" s="113">
        <v>0.74</v>
      </c>
      <c r="BJ17" s="113">
        <v>0.2</v>
      </c>
      <c r="BK17" s="113">
        <v>0.3</v>
      </c>
      <c r="BL17" s="113">
        <v>0.84</v>
      </c>
      <c r="BM17" s="165">
        <v>0.36</v>
      </c>
      <c r="BN17" s="113">
        <v>5.9</v>
      </c>
      <c r="BO17" s="113">
        <v>8</v>
      </c>
      <c r="BP17" s="113">
        <v>2.2000000000000002</v>
      </c>
      <c r="BQ17" s="113">
        <v>2.5</v>
      </c>
      <c r="BR17" s="113">
        <v>0.56999999999999995</v>
      </c>
      <c r="BS17" s="113">
        <v>0.18</v>
      </c>
      <c r="BT17" s="113">
        <v>1.1000000000000001</v>
      </c>
      <c r="BU17" s="113">
        <v>1.6</v>
      </c>
      <c r="BV17" s="113">
        <v>2.2000000000000002</v>
      </c>
      <c r="BW17" s="113">
        <v>0.89</v>
      </c>
      <c r="BX17" s="165">
        <v>0.47</v>
      </c>
      <c r="BY17" s="1">
        <v>0.37</v>
      </c>
      <c r="BZ17" s="121">
        <f>Table22[[#This Row],[208-8]]/Table22[[#This Row],[Environmental quality standard maximum (MAC-MKN)*]]</f>
        <v>13.333333333333334</v>
      </c>
      <c r="CA17" s="123">
        <f>AVERAGE(Table22[[#This Row],[208-1]:[208-3]])/Table22[[#This Row],[Environmental quality standard maximum (MAC-MKN)*]]</f>
        <v>44.722222222222229</v>
      </c>
      <c r="CB17" s="123"/>
    </row>
    <row r="18" spans="1:80" x14ac:dyDescent="0.35">
      <c r="A18" s="122" t="s">
        <v>33</v>
      </c>
      <c r="B18" s="24" t="s">
        <v>108</v>
      </c>
      <c r="C18" s="24">
        <v>0.04</v>
      </c>
      <c r="D18" s="104" t="s">
        <v>30</v>
      </c>
      <c r="E18" s="36">
        <v>9.7000000000000003E-2</v>
      </c>
      <c r="F18" s="23">
        <v>0.1</v>
      </c>
      <c r="G18" s="23">
        <v>0.66</v>
      </c>
      <c r="H18" s="112">
        <v>1.9E-2</v>
      </c>
      <c r="I18" s="112">
        <v>2.9000000000000001E-2</v>
      </c>
      <c r="J18" s="112">
        <v>2.7E-2</v>
      </c>
      <c r="K18" s="113">
        <v>4.7E-2</v>
      </c>
      <c r="L18" s="112">
        <v>1.9E-2</v>
      </c>
      <c r="M18" s="113">
        <v>5.7000000000000002E-2</v>
      </c>
      <c r="N18" s="113">
        <v>0.05</v>
      </c>
      <c r="O18" s="114">
        <v>1.6E-2</v>
      </c>
      <c r="P18" s="23">
        <v>2.2000000000000002</v>
      </c>
      <c r="Q18" s="23">
        <v>0.78</v>
      </c>
      <c r="R18" s="23">
        <v>2.1</v>
      </c>
      <c r="S18" s="117">
        <v>2.7</v>
      </c>
      <c r="T18" s="113">
        <v>0.78</v>
      </c>
      <c r="U18" s="113">
        <v>2</v>
      </c>
      <c r="V18" s="117">
        <v>5.8999999999999997E-2</v>
      </c>
      <c r="W18" s="113">
        <v>6.3E-2</v>
      </c>
      <c r="X18" s="113">
        <v>4.7E-2</v>
      </c>
      <c r="Y18" s="113">
        <v>0.16</v>
      </c>
      <c r="Z18" s="112">
        <v>1.7000000000000001E-2</v>
      </c>
      <c r="AA18" s="113">
        <v>0.13</v>
      </c>
      <c r="AB18" s="113">
        <v>1.1000000000000001</v>
      </c>
      <c r="AC18" s="165">
        <v>4.1000000000000002E-2</v>
      </c>
      <c r="AD18" s="23">
        <v>4.4000000000000004</v>
      </c>
      <c r="AE18" s="23">
        <v>0.99</v>
      </c>
      <c r="AF18" s="23">
        <v>2.9</v>
      </c>
      <c r="AG18" s="117">
        <v>2.7</v>
      </c>
      <c r="AH18" s="113">
        <v>1.3</v>
      </c>
      <c r="AI18" s="113">
        <v>2.9</v>
      </c>
      <c r="AJ18" s="113">
        <v>8.4000000000000005E-2</v>
      </c>
      <c r="AK18" s="113">
        <v>0.12</v>
      </c>
      <c r="AL18" s="113">
        <v>5.7000000000000002E-2</v>
      </c>
      <c r="AM18" s="113">
        <v>0.38</v>
      </c>
      <c r="AN18" s="112" t="s">
        <v>128</v>
      </c>
      <c r="AO18" s="113">
        <v>0.14000000000000001</v>
      </c>
      <c r="AP18" s="113">
        <v>0.89</v>
      </c>
      <c r="AQ18" s="165">
        <v>0.16</v>
      </c>
      <c r="AR18" s="113">
        <v>2.7</v>
      </c>
      <c r="AS18" s="113">
        <v>0.94</v>
      </c>
      <c r="AT18" s="113">
        <v>2.4</v>
      </c>
      <c r="AU18" s="113">
        <v>0.11</v>
      </c>
      <c r="AV18" s="113">
        <v>6.8000000000000005E-2</v>
      </c>
      <c r="AW18" s="113">
        <v>8.3000000000000004E-2</v>
      </c>
      <c r="AX18" s="113">
        <v>0.34</v>
      </c>
      <c r="AY18" s="113">
        <v>7.0999999999999994E-2</v>
      </c>
      <c r="AZ18" s="113">
        <v>0.53</v>
      </c>
      <c r="BA18" s="113">
        <v>0.63</v>
      </c>
      <c r="BB18" s="165">
        <v>8.1000000000000003E-2</v>
      </c>
      <c r="BC18" s="113">
        <v>3</v>
      </c>
      <c r="BD18" s="113">
        <v>3.1</v>
      </c>
      <c r="BE18" s="113">
        <v>1.7</v>
      </c>
      <c r="BF18" s="113">
        <v>0.18</v>
      </c>
      <c r="BG18" s="113">
        <v>0.26</v>
      </c>
      <c r="BH18" s="113">
        <v>8.7999999999999995E-2</v>
      </c>
      <c r="BI18" s="113">
        <v>0.37</v>
      </c>
      <c r="BJ18" s="113">
        <v>8.8999999999999996E-2</v>
      </c>
      <c r="BK18" s="113">
        <v>0.15</v>
      </c>
      <c r="BL18" s="113">
        <v>0.35</v>
      </c>
      <c r="BM18" s="165">
        <v>0.18</v>
      </c>
      <c r="BN18" s="113">
        <v>2.8</v>
      </c>
      <c r="BO18" s="113">
        <v>3.9</v>
      </c>
      <c r="BP18" s="113">
        <v>0.47</v>
      </c>
      <c r="BQ18" s="113">
        <v>1.1000000000000001</v>
      </c>
      <c r="BR18" s="113">
        <v>0.18</v>
      </c>
      <c r="BS18" s="113">
        <v>5.8999999999999997E-2</v>
      </c>
      <c r="BT18" s="113">
        <v>0.46</v>
      </c>
      <c r="BU18" s="113">
        <v>0.73</v>
      </c>
      <c r="BV18" s="113">
        <v>0.93</v>
      </c>
      <c r="BW18" s="113">
        <v>0.33</v>
      </c>
      <c r="BX18" s="165">
        <v>0.16</v>
      </c>
      <c r="BY18" s="1">
        <v>0.18</v>
      </c>
      <c r="BZ18" s="1">
        <f>Table22[[#This Row],[208-8]]/Table22[[#This Row],[Environmental quality standard average (JG-MKN)*]]</f>
        <v>18.25</v>
      </c>
      <c r="CA18" s="123">
        <f>AVERAGE(Table22[[#This Row],[208-1]:[208-3]])/Table22[[#This Row],[Environmental quality standard average (JG-MKN)*]]</f>
        <v>59.749999999999993</v>
      </c>
      <c r="CB18" s="123"/>
    </row>
    <row r="19" spans="1:80" x14ac:dyDescent="0.35">
      <c r="A19" s="8" t="s">
        <v>34</v>
      </c>
      <c r="B19" s="24" t="s">
        <v>108</v>
      </c>
      <c r="C19" s="24">
        <v>1</v>
      </c>
      <c r="D19" s="104" t="s">
        <v>30</v>
      </c>
      <c r="E19" s="36">
        <v>1.2E-2</v>
      </c>
      <c r="F19" s="23">
        <v>0.1</v>
      </c>
      <c r="G19" s="23">
        <v>6.8000000000000005E-2</v>
      </c>
      <c r="H19" s="112" t="s">
        <v>349</v>
      </c>
      <c r="I19" s="112" t="s">
        <v>112</v>
      </c>
      <c r="J19" s="112" t="s">
        <v>112</v>
      </c>
      <c r="K19" s="112" t="s">
        <v>112</v>
      </c>
      <c r="L19" s="112" t="s">
        <v>112</v>
      </c>
      <c r="M19" s="112" t="s">
        <v>103</v>
      </c>
      <c r="N19" s="112" t="s">
        <v>349</v>
      </c>
      <c r="O19" s="114">
        <v>0.01</v>
      </c>
      <c r="P19" s="23">
        <v>0.18</v>
      </c>
      <c r="Q19" s="23">
        <v>0.1</v>
      </c>
      <c r="R19" s="23">
        <v>0.12</v>
      </c>
      <c r="S19" s="115">
        <v>0.31</v>
      </c>
      <c r="T19" s="112">
        <v>0.16</v>
      </c>
      <c r="U19" s="112">
        <v>0.13</v>
      </c>
      <c r="V19" s="115">
        <v>1.2E-2</v>
      </c>
      <c r="W19" s="112" t="s">
        <v>112</v>
      </c>
      <c r="X19" s="112" t="s">
        <v>112</v>
      </c>
      <c r="Y19" s="112">
        <v>1.6E-2</v>
      </c>
      <c r="Z19" s="112" t="s">
        <v>112</v>
      </c>
      <c r="AA19" s="112">
        <v>1.0999999999999999E-2</v>
      </c>
      <c r="AB19" s="112">
        <v>0.14000000000000001</v>
      </c>
      <c r="AC19" s="114">
        <v>0.01</v>
      </c>
      <c r="AD19" s="23">
        <v>0.36</v>
      </c>
      <c r="AE19" s="23">
        <v>0.16</v>
      </c>
      <c r="AF19" s="23">
        <v>0.17</v>
      </c>
      <c r="AG19" s="115">
        <v>0.25</v>
      </c>
      <c r="AH19" s="112">
        <v>0.17</v>
      </c>
      <c r="AI19" s="112">
        <v>0.19</v>
      </c>
      <c r="AJ19" s="112" t="s">
        <v>349</v>
      </c>
      <c r="AK19" s="112" t="s">
        <v>112</v>
      </c>
      <c r="AL19" s="112" t="s">
        <v>112</v>
      </c>
      <c r="AM19" s="112" t="s">
        <v>350</v>
      </c>
      <c r="AN19" s="112" t="s">
        <v>128</v>
      </c>
      <c r="AO19" s="112">
        <v>1.2999999999999999E-2</v>
      </c>
      <c r="AP19" s="112">
        <v>0.13</v>
      </c>
      <c r="AQ19" s="114">
        <v>1.4E-2</v>
      </c>
      <c r="AR19" s="112">
        <v>0.15</v>
      </c>
      <c r="AS19" s="112">
        <v>0.1</v>
      </c>
      <c r="AT19" s="112">
        <v>0.14000000000000001</v>
      </c>
      <c r="AU19" s="112" t="s">
        <v>349</v>
      </c>
      <c r="AV19" s="112">
        <v>0.03</v>
      </c>
      <c r="AW19" s="112" t="s">
        <v>112</v>
      </c>
      <c r="AX19" s="112">
        <v>2.5999999999999999E-2</v>
      </c>
      <c r="AY19" s="112" t="s">
        <v>128</v>
      </c>
      <c r="AZ19" s="112">
        <v>1.7000000000000001E-2</v>
      </c>
      <c r="BA19" s="112">
        <v>8.8999999999999996E-2</v>
      </c>
      <c r="BB19" s="271">
        <v>0.01</v>
      </c>
      <c r="BC19" s="112">
        <v>0.2</v>
      </c>
      <c r="BD19" s="112">
        <v>0.72</v>
      </c>
      <c r="BE19" s="112">
        <v>8.5000000000000006E-2</v>
      </c>
      <c r="BF19" s="112" t="s">
        <v>349</v>
      </c>
      <c r="BG19" s="112">
        <v>1.0999999999999999E-2</v>
      </c>
      <c r="BH19" s="112" t="s">
        <v>112</v>
      </c>
      <c r="BI19" s="112">
        <v>0.03</v>
      </c>
      <c r="BJ19" s="112" t="s">
        <v>128</v>
      </c>
      <c r="BK19" s="112">
        <v>1.2999999999999999E-2</v>
      </c>
      <c r="BL19" s="112">
        <v>4.9000000000000002E-2</v>
      </c>
      <c r="BM19" s="271">
        <v>0.01</v>
      </c>
      <c r="BN19" s="112">
        <v>0.17</v>
      </c>
      <c r="BO19" s="112">
        <v>0.28000000000000003</v>
      </c>
      <c r="BP19" s="112">
        <v>5.3999999999999999E-2</v>
      </c>
      <c r="BQ19" s="112">
        <v>4.1000000000000002E-2</v>
      </c>
      <c r="BR19" s="112">
        <v>0.05</v>
      </c>
      <c r="BS19" s="112" t="s">
        <v>112</v>
      </c>
      <c r="BT19" s="112">
        <v>1.9E-2</v>
      </c>
      <c r="BU19" s="112">
        <v>4.4999999999999998E-2</v>
      </c>
      <c r="BV19" s="112">
        <v>4.4999999999999998E-2</v>
      </c>
      <c r="BW19" s="112">
        <v>1.9E-2</v>
      </c>
      <c r="BX19" s="114">
        <v>2.1000000000000001E-2</v>
      </c>
    </row>
    <row r="20" spans="1:80" x14ac:dyDescent="0.35">
      <c r="A20" s="8" t="s">
        <v>36</v>
      </c>
      <c r="B20" s="24" t="s">
        <v>108</v>
      </c>
      <c r="C20" s="24">
        <v>0.3</v>
      </c>
      <c r="D20" s="104" t="s">
        <v>30</v>
      </c>
      <c r="E20" s="36">
        <v>1.2E-2</v>
      </c>
      <c r="F20" s="23">
        <v>0.1</v>
      </c>
      <c r="G20" s="23">
        <v>0.12</v>
      </c>
      <c r="H20" s="112" t="s">
        <v>349</v>
      </c>
      <c r="I20" s="112" t="s">
        <v>112</v>
      </c>
      <c r="J20" s="112" t="s">
        <v>112</v>
      </c>
      <c r="K20" s="112" t="s">
        <v>349</v>
      </c>
      <c r="L20" s="112" t="s">
        <v>112</v>
      </c>
      <c r="M20" s="112">
        <v>0.01</v>
      </c>
      <c r="N20" s="112" t="s">
        <v>349</v>
      </c>
      <c r="O20" s="114">
        <v>0.01</v>
      </c>
      <c r="P20" s="23">
        <v>0.25</v>
      </c>
      <c r="Q20" s="23">
        <v>0.1</v>
      </c>
      <c r="R20" s="23">
        <v>0.25</v>
      </c>
      <c r="S20" s="117">
        <v>0.4</v>
      </c>
      <c r="T20" s="112">
        <v>0.14000000000000001</v>
      </c>
      <c r="U20" s="112">
        <v>0.25</v>
      </c>
      <c r="V20" s="115">
        <v>2.3E-2</v>
      </c>
      <c r="W20" s="112" t="s">
        <v>112</v>
      </c>
      <c r="X20" s="112" t="s">
        <v>112</v>
      </c>
      <c r="Y20" s="112">
        <v>2.4E-2</v>
      </c>
      <c r="Z20" s="112" t="s">
        <v>112</v>
      </c>
      <c r="AA20" s="112">
        <v>1.2E-2</v>
      </c>
      <c r="AB20" s="112">
        <v>0.19</v>
      </c>
      <c r="AC20" s="114">
        <v>0.01</v>
      </c>
      <c r="AD20" s="23">
        <v>0.52</v>
      </c>
      <c r="AE20" s="23">
        <v>0.18</v>
      </c>
      <c r="AF20" s="23">
        <v>0.32</v>
      </c>
      <c r="AG20" s="117">
        <v>0.34</v>
      </c>
      <c r="AH20" s="112">
        <v>0.18</v>
      </c>
      <c r="AI20" s="113">
        <v>0.34</v>
      </c>
      <c r="AJ20" s="112" t="s">
        <v>349</v>
      </c>
      <c r="AK20" s="112">
        <v>1.0999999999999999E-2</v>
      </c>
      <c r="AL20" s="112">
        <v>1.2E-2</v>
      </c>
      <c r="AM20" s="112" t="s">
        <v>112</v>
      </c>
      <c r="AN20" s="112" t="s">
        <v>128</v>
      </c>
      <c r="AO20" s="112">
        <v>1.4E-2</v>
      </c>
      <c r="AP20" s="112">
        <v>0.19</v>
      </c>
      <c r="AQ20" s="114">
        <v>2.4E-2</v>
      </c>
      <c r="AR20" s="112">
        <v>0.23</v>
      </c>
      <c r="AS20" s="112">
        <v>0.1</v>
      </c>
      <c r="AT20" s="113">
        <v>0.34</v>
      </c>
      <c r="AU20" s="112">
        <v>1.2E-2</v>
      </c>
      <c r="AV20" s="112">
        <v>1.7999999999999999E-2</v>
      </c>
      <c r="AW20" s="112" t="s">
        <v>112</v>
      </c>
      <c r="AX20" s="112">
        <v>0.04</v>
      </c>
      <c r="AY20" s="112" t="s">
        <v>128</v>
      </c>
      <c r="AZ20" s="112">
        <v>2.1999999999999999E-2</v>
      </c>
      <c r="BA20" s="112">
        <v>0.13</v>
      </c>
      <c r="BB20" s="271">
        <v>0.01</v>
      </c>
      <c r="BC20" s="112">
        <v>0.3</v>
      </c>
      <c r="BD20" s="113">
        <v>0.71</v>
      </c>
      <c r="BE20" s="112">
        <v>0.27</v>
      </c>
      <c r="BF20" s="112">
        <v>1.9E-2</v>
      </c>
      <c r="BG20" s="112">
        <v>2.3E-2</v>
      </c>
      <c r="BH20" s="112" t="s">
        <v>112</v>
      </c>
      <c r="BI20" s="112">
        <v>4.2000000000000003E-2</v>
      </c>
      <c r="BJ20" s="112" t="s">
        <v>128</v>
      </c>
      <c r="BK20" s="112">
        <v>1.4E-2</v>
      </c>
      <c r="BL20" s="112">
        <v>7.1999999999999995E-2</v>
      </c>
      <c r="BM20" s="114">
        <v>1.9E-2</v>
      </c>
      <c r="BN20" s="112">
        <v>0.25</v>
      </c>
      <c r="BO20" s="113">
        <v>0.4</v>
      </c>
      <c r="BP20" s="112">
        <v>0.23</v>
      </c>
      <c r="BQ20" s="112">
        <v>0.14000000000000001</v>
      </c>
      <c r="BR20" s="112">
        <v>9.6000000000000002E-2</v>
      </c>
      <c r="BS20" s="112">
        <v>1.7000000000000001E-2</v>
      </c>
      <c r="BT20" s="112">
        <v>6.8000000000000005E-2</v>
      </c>
      <c r="BU20" s="112">
        <v>0.11</v>
      </c>
      <c r="BV20" s="112">
        <v>0.14000000000000001</v>
      </c>
      <c r="BW20" s="112">
        <v>5.8999999999999997E-2</v>
      </c>
      <c r="BX20" s="114">
        <v>2.5999999999999999E-2</v>
      </c>
    </row>
    <row r="21" spans="1:80" x14ac:dyDescent="0.35">
      <c r="A21" s="8" t="s">
        <v>37</v>
      </c>
      <c r="B21" s="24">
        <v>0.27</v>
      </c>
      <c r="D21" s="104" t="s">
        <v>30</v>
      </c>
      <c r="E21" s="36" t="s">
        <v>35</v>
      </c>
      <c r="F21" s="23">
        <v>0.1</v>
      </c>
      <c r="G21" s="23">
        <v>4.8000000000000001E-2</v>
      </c>
      <c r="H21" s="112" t="s">
        <v>349</v>
      </c>
      <c r="I21" s="112" t="s">
        <v>112</v>
      </c>
      <c r="J21" s="112" t="s">
        <v>112</v>
      </c>
      <c r="K21" s="112" t="s">
        <v>349</v>
      </c>
      <c r="L21" s="112" t="s">
        <v>112</v>
      </c>
      <c r="M21" s="112" t="s">
        <v>103</v>
      </c>
      <c r="N21" s="112" t="s">
        <v>112</v>
      </c>
      <c r="O21" s="114">
        <v>0.01</v>
      </c>
      <c r="P21" s="23">
        <v>0.05</v>
      </c>
      <c r="Q21" s="23">
        <v>0.1</v>
      </c>
      <c r="R21" s="23">
        <v>0.03</v>
      </c>
      <c r="S21" s="115">
        <v>0.11</v>
      </c>
      <c r="T21" s="112">
        <v>0.1</v>
      </c>
      <c r="U21" s="112">
        <v>3.1E-2</v>
      </c>
      <c r="V21" s="115">
        <v>1.2E-2</v>
      </c>
      <c r="W21" s="112" t="s">
        <v>112</v>
      </c>
      <c r="X21" s="112" t="s">
        <v>112</v>
      </c>
      <c r="Y21" s="112" t="s">
        <v>112</v>
      </c>
      <c r="Z21" s="112" t="s">
        <v>112</v>
      </c>
      <c r="AA21" s="112" t="s">
        <v>103</v>
      </c>
      <c r="AB21" s="112">
        <v>6.8000000000000005E-2</v>
      </c>
      <c r="AC21" s="114">
        <v>0.01</v>
      </c>
      <c r="AD21" s="23">
        <v>0.11</v>
      </c>
      <c r="AE21" s="23">
        <v>0.1</v>
      </c>
      <c r="AF21" s="23">
        <v>0.04</v>
      </c>
      <c r="AG21" s="115">
        <v>7.9000000000000001E-2</v>
      </c>
      <c r="AH21" s="112">
        <v>0.1</v>
      </c>
      <c r="AI21" s="112">
        <v>4.8000000000000001E-2</v>
      </c>
      <c r="AJ21" s="112" t="s">
        <v>349</v>
      </c>
      <c r="AK21" s="112" t="s">
        <v>112</v>
      </c>
      <c r="AL21" s="112">
        <v>1.0999999999999999E-2</v>
      </c>
      <c r="AM21" s="112" t="s">
        <v>436</v>
      </c>
      <c r="AN21" s="112" t="s">
        <v>128</v>
      </c>
      <c r="AO21" s="112" t="s">
        <v>103</v>
      </c>
      <c r="AP21" s="112">
        <v>6.3E-2</v>
      </c>
      <c r="AQ21" s="114">
        <v>0.01</v>
      </c>
      <c r="AR21" s="112">
        <v>3.3000000000000002E-2</v>
      </c>
      <c r="AS21" s="112">
        <v>0.1</v>
      </c>
      <c r="AT21" s="112">
        <v>6.3E-2</v>
      </c>
      <c r="AU21" s="112" t="s">
        <v>349</v>
      </c>
      <c r="AV21" s="112">
        <v>1.4E-2</v>
      </c>
      <c r="AW21" s="112" t="s">
        <v>112</v>
      </c>
      <c r="AX21" s="166" t="s">
        <v>112</v>
      </c>
      <c r="AY21" s="112" t="s">
        <v>128</v>
      </c>
      <c r="AZ21" s="112" t="s">
        <v>103</v>
      </c>
      <c r="BA21" s="112">
        <v>3.9E-2</v>
      </c>
      <c r="BB21" s="271">
        <v>0.01</v>
      </c>
      <c r="BC21" s="112">
        <v>0.05</v>
      </c>
      <c r="BD21" s="112">
        <v>0.21</v>
      </c>
      <c r="BE21" s="112">
        <v>6.0999999999999999E-2</v>
      </c>
      <c r="BF21" s="112" t="s">
        <v>349</v>
      </c>
      <c r="BG21" s="112" t="s">
        <v>112</v>
      </c>
      <c r="BH21" s="112" t="s">
        <v>112</v>
      </c>
      <c r="BI21" s="112" t="s">
        <v>112</v>
      </c>
      <c r="BJ21" s="112" t="s">
        <v>128</v>
      </c>
      <c r="BK21" s="112" t="s">
        <v>103</v>
      </c>
      <c r="BL21" s="112">
        <v>2.5000000000000001E-2</v>
      </c>
      <c r="BM21" s="271">
        <v>0.01</v>
      </c>
      <c r="BN21" s="112">
        <v>3.2000000000000001E-2</v>
      </c>
      <c r="BO21" s="112">
        <v>0.1</v>
      </c>
      <c r="BP21" s="112">
        <v>8.2000000000000003E-2</v>
      </c>
      <c r="BQ21" s="112">
        <v>2.1000000000000001E-2</v>
      </c>
      <c r="BR21" s="112">
        <v>6.5000000000000002E-2</v>
      </c>
      <c r="BS21" s="112">
        <v>6.0999999999999999E-2</v>
      </c>
      <c r="BT21" s="112">
        <v>1.4999999999999999E-2</v>
      </c>
      <c r="BU21" s="112">
        <v>3.4000000000000002E-2</v>
      </c>
      <c r="BV21" s="112">
        <v>5.3999999999999999E-2</v>
      </c>
      <c r="BW21" s="112">
        <v>1.9E-2</v>
      </c>
      <c r="BX21" s="114">
        <v>0.01</v>
      </c>
    </row>
    <row r="22" spans="1:80" x14ac:dyDescent="0.35">
      <c r="A22" s="8" t="s">
        <v>38</v>
      </c>
      <c r="B22" s="24">
        <v>1.7000000000000001E-2</v>
      </c>
      <c r="D22" s="104" t="s">
        <v>30</v>
      </c>
      <c r="E22" s="36" t="s">
        <v>35</v>
      </c>
      <c r="F22" s="23">
        <v>0.1</v>
      </c>
      <c r="G22" s="23">
        <v>2.9000000000000001E-2</v>
      </c>
      <c r="H22" s="112" t="s">
        <v>349</v>
      </c>
      <c r="I22" s="112" t="s">
        <v>112</v>
      </c>
      <c r="J22" s="112" t="s">
        <v>112</v>
      </c>
      <c r="K22" s="112" t="s">
        <v>349</v>
      </c>
      <c r="L22" s="112" t="s">
        <v>112</v>
      </c>
      <c r="M22" s="112" t="s">
        <v>103</v>
      </c>
      <c r="N22" s="112" t="s">
        <v>349</v>
      </c>
      <c r="O22" s="114">
        <v>0.01</v>
      </c>
      <c r="P22" s="23">
        <v>2.7E-2</v>
      </c>
      <c r="Q22" s="23">
        <v>0.1</v>
      </c>
      <c r="R22" s="108" t="s">
        <v>112</v>
      </c>
      <c r="S22" s="117">
        <v>5.6000000000000001E-2</v>
      </c>
      <c r="T22" s="113">
        <v>0.1</v>
      </c>
      <c r="U22" s="112">
        <v>1.4999999999999999E-2</v>
      </c>
      <c r="V22" s="115" t="s">
        <v>349</v>
      </c>
      <c r="W22" s="112" t="s">
        <v>112</v>
      </c>
      <c r="X22" s="112" t="s">
        <v>112</v>
      </c>
      <c r="Y22" s="112" t="s">
        <v>112</v>
      </c>
      <c r="Z22" s="112" t="s">
        <v>112</v>
      </c>
      <c r="AA22" s="112" t="s">
        <v>103</v>
      </c>
      <c r="AB22" s="113">
        <v>2.1999999999999999E-2</v>
      </c>
      <c r="AC22" s="114">
        <v>0.01</v>
      </c>
      <c r="AD22" s="23">
        <v>6.3E-2</v>
      </c>
      <c r="AE22" s="23">
        <v>0.1</v>
      </c>
      <c r="AF22" s="23">
        <v>1.9E-2</v>
      </c>
      <c r="AG22" s="117">
        <v>3.9E-2</v>
      </c>
      <c r="AH22" s="113">
        <v>0.1</v>
      </c>
      <c r="AI22" s="113">
        <v>2.7E-2</v>
      </c>
      <c r="AJ22" s="112" t="s">
        <v>349</v>
      </c>
      <c r="AK22" s="112" t="s">
        <v>112</v>
      </c>
      <c r="AL22" s="112" t="s">
        <v>112</v>
      </c>
      <c r="AM22" s="112" t="s">
        <v>437</v>
      </c>
      <c r="AN22" s="112" t="s">
        <v>128</v>
      </c>
      <c r="AO22" s="112" t="s">
        <v>103</v>
      </c>
      <c r="AP22" s="113">
        <v>2.9000000000000001E-2</v>
      </c>
      <c r="AQ22" s="114">
        <v>0.01</v>
      </c>
      <c r="AR22" s="167">
        <v>1.7999999999999999E-2</v>
      </c>
      <c r="AS22" s="167">
        <v>0.1</v>
      </c>
      <c r="AT22" s="167">
        <v>3.3000000000000002E-2</v>
      </c>
      <c r="AU22" s="112" t="s">
        <v>349</v>
      </c>
      <c r="AV22" s="112" t="s">
        <v>112</v>
      </c>
      <c r="AW22" s="112" t="s">
        <v>112</v>
      </c>
      <c r="AX22" s="166" t="s">
        <v>112</v>
      </c>
      <c r="AY22" s="112" t="s">
        <v>128</v>
      </c>
      <c r="AZ22" s="112" t="s">
        <v>103</v>
      </c>
      <c r="BA22" s="113">
        <v>2.1000000000000001E-2</v>
      </c>
      <c r="BB22" s="271">
        <v>0.01</v>
      </c>
      <c r="BC22" s="167">
        <v>2.9000000000000001E-2</v>
      </c>
      <c r="BD22" s="167">
        <v>0.13</v>
      </c>
      <c r="BE22" s="167">
        <v>3.3000000000000002E-2</v>
      </c>
      <c r="BF22" s="112" t="s">
        <v>349</v>
      </c>
      <c r="BG22" s="112" t="s">
        <v>112</v>
      </c>
      <c r="BH22" s="112" t="s">
        <v>112</v>
      </c>
      <c r="BI22" s="112" t="s">
        <v>112</v>
      </c>
      <c r="BJ22" s="112" t="s">
        <v>128</v>
      </c>
      <c r="BK22" s="112" t="s">
        <v>103</v>
      </c>
      <c r="BL22" s="112">
        <v>1.6E-2</v>
      </c>
      <c r="BM22" s="271">
        <v>0.01</v>
      </c>
      <c r="BN22" s="167">
        <v>1.7999999999999999E-2</v>
      </c>
      <c r="BO22" s="167">
        <v>0.1</v>
      </c>
      <c r="BP22" s="167">
        <v>4.4999999999999998E-2</v>
      </c>
      <c r="BQ22" s="112">
        <v>1.0999999999999999E-2</v>
      </c>
      <c r="BR22" s="167">
        <v>3.5000000000000003E-2</v>
      </c>
      <c r="BS22" s="167">
        <v>3.3000000000000002E-2</v>
      </c>
      <c r="BT22" s="112" t="s">
        <v>349</v>
      </c>
      <c r="BU22" s="112">
        <v>1.7000000000000001E-2</v>
      </c>
      <c r="BV22" s="113">
        <v>2.5000000000000001E-2</v>
      </c>
      <c r="BW22" s="112">
        <v>1.2999999999999999E-2</v>
      </c>
      <c r="BX22" s="114">
        <v>0.01</v>
      </c>
      <c r="BZ22" s="121"/>
      <c r="CA22" s="123">
        <f>AVERAGE(Table22[[#This Row],[208-1]:[208-3]])/Table22[[#This Row],[Environmental quality standard maximum (MAC-MKN)*]]</f>
        <v>3.1960784313725492</v>
      </c>
    </row>
    <row r="23" spans="1:80" x14ac:dyDescent="0.35">
      <c r="A23" s="8" t="s">
        <v>39</v>
      </c>
      <c r="B23" s="24" t="s">
        <v>108</v>
      </c>
      <c r="C23" s="24" t="s">
        <v>109</v>
      </c>
      <c r="D23" s="104" t="s">
        <v>30</v>
      </c>
      <c r="E23" s="36" t="s">
        <v>35</v>
      </c>
      <c r="F23" s="23">
        <v>0.1</v>
      </c>
      <c r="G23" s="23">
        <v>3.3000000000000002E-2</v>
      </c>
      <c r="H23" s="23" t="s">
        <v>349</v>
      </c>
      <c r="I23" s="23" t="s">
        <v>112</v>
      </c>
      <c r="J23" s="23" t="s">
        <v>112</v>
      </c>
      <c r="K23" s="23" t="s">
        <v>349</v>
      </c>
      <c r="L23" s="23" t="s">
        <v>112</v>
      </c>
      <c r="M23" s="23" t="s">
        <v>103</v>
      </c>
      <c r="N23" s="23" t="s">
        <v>349</v>
      </c>
      <c r="O23" s="108">
        <v>0.01</v>
      </c>
      <c r="P23" s="23">
        <v>1.7000000000000001E-2</v>
      </c>
      <c r="Q23" s="23">
        <v>0.1</v>
      </c>
      <c r="R23" s="108" t="s">
        <v>112</v>
      </c>
      <c r="S23" s="23">
        <v>4.8000000000000001E-2</v>
      </c>
      <c r="T23" s="23">
        <v>0.1</v>
      </c>
      <c r="U23" s="23" t="s">
        <v>112</v>
      </c>
      <c r="V23" s="36" t="s">
        <v>349</v>
      </c>
      <c r="W23" s="23" t="s">
        <v>112</v>
      </c>
      <c r="X23" s="23" t="s">
        <v>112</v>
      </c>
      <c r="Y23" s="23" t="s">
        <v>112</v>
      </c>
      <c r="Z23" s="23" t="s">
        <v>112</v>
      </c>
      <c r="AA23" s="23" t="s">
        <v>103</v>
      </c>
      <c r="AB23" s="23">
        <v>3.1E-2</v>
      </c>
      <c r="AC23" s="108">
        <v>0.01</v>
      </c>
      <c r="AD23" s="23">
        <v>4.2000000000000003E-2</v>
      </c>
      <c r="AE23" s="23">
        <v>0.1</v>
      </c>
      <c r="AF23" s="23" t="s">
        <v>112</v>
      </c>
      <c r="AG23" s="36">
        <v>3.4000000000000002E-2</v>
      </c>
      <c r="AH23" s="23">
        <v>0.1</v>
      </c>
      <c r="AI23" s="23">
        <v>1.2999999999999999E-2</v>
      </c>
      <c r="AJ23" s="23" t="s">
        <v>349</v>
      </c>
      <c r="AK23" s="23" t="s">
        <v>112</v>
      </c>
      <c r="AL23" s="23" t="s">
        <v>112</v>
      </c>
      <c r="AM23" s="23" t="s">
        <v>438</v>
      </c>
      <c r="AN23" s="23" t="s">
        <v>128</v>
      </c>
      <c r="AO23" s="23" t="s">
        <v>103</v>
      </c>
      <c r="AP23" s="23">
        <v>2.4E-2</v>
      </c>
      <c r="AQ23" s="108">
        <v>0.01</v>
      </c>
      <c r="AR23" s="23">
        <v>0.01</v>
      </c>
      <c r="AS23" s="23">
        <v>0.1</v>
      </c>
      <c r="AT23" s="23">
        <v>1.7999999999999999E-2</v>
      </c>
      <c r="AU23" s="23" t="s">
        <v>349</v>
      </c>
      <c r="AV23" s="23" t="s">
        <v>112</v>
      </c>
      <c r="AW23" s="23" t="s">
        <v>112</v>
      </c>
      <c r="AX23" s="35" t="s">
        <v>112</v>
      </c>
      <c r="AY23" s="23" t="s">
        <v>128</v>
      </c>
      <c r="AZ23" s="23" t="s">
        <v>103</v>
      </c>
      <c r="BA23" s="23">
        <v>1.6E-2</v>
      </c>
      <c r="BB23" s="272">
        <v>0.01</v>
      </c>
      <c r="BC23" s="23">
        <v>1.7999999999999999E-2</v>
      </c>
      <c r="BD23" s="23">
        <v>0.1</v>
      </c>
      <c r="BE23" s="23">
        <v>0.02</v>
      </c>
      <c r="BF23" s="23" t="s">
        <v>349</v>
      </c>
      <c r="BG23" s="23" t="s">
        <v>112</v>
      </c>
      <c r="BH23" s="23" t="s">
        <v>112</v>
      </c>
      <c r="BI23" s="23" t="s">
        <v>112</v>
      </c>
      <c r="BJ23" s="23" t="s">
        <v>128</v>
      </c>
      <c r="BK23" s="23" t="s">
        <v>103</v>
      </c>
      <c r="BL23" s="23">
        <v>1.2E-2</v>
      </c>
      <c r="BM23" s="272">
        <v>0.01</v>
      </c>
      <c r="BN23" s="23">
        <v>1.0999999999999999E-2</v>
      </c>
      <c r="BO23" s="23">
        <v>0.1</v>
      </c>
      <c r="BP23" s="23">
        <v>2.1999999999999999E-2</v>
      </c>
      <c r="BQ23" s="23" t="s">
        <v>349</v>
      </c>
      <c r="BR23" s="23">
        <v>1.9E-2</v>
      </c>
      <c r="BS23" s="23">
        <v>1.6E-2</v>
      </c>
      <c r="BT23" s="23" t="s">
        <v>349</v>
      </c>
      <c r="BU23" s="23">
        <v>1.4999999999999999E-2</v>
      </c>
      <c r="BV23" s="23">
        <v>1.7000000000000001E-2</v>
      </c>
      <c r="BW23" s="23" t="s">
        <v>349</v>
      </c>
      <c r="BX23" s="108">
        <v>0.01</v>
      </c>
    </row>
    <row r="24" spans="1:80" x14ac:dyDescent="0.35">
      <c r="A24" s="8" t="s">
        <v>40</v>
      </c>
      <c r="B24" s="24">
        <v>8.2000000000000007E-3</v>
      </c>
      <c r="D24" s="104" t="s">
        <v>30</v>
      </c>
      <c r="E24" s="36" t="s">
        <v>35</v>
      </c>
      <c r="F24" s="23">
        <v>0.1</v>
      </c>
      <c r="G24" s="23">
        <v>0.04</v>
      </c>
      <c r="H24" s="112" t="s">
        <v>349</v>
      </c>
      <c r="I24" s="112" t="s">
        <v>112</v>
      </c>
      <c r="J24" s="112" t="s">
        <v>112</v>
      </c>
      <c r="K24" s="112" t="s">
        <v>349</v>
      </c>
      <c r="L24" s="112" t="s">
        <v>112</v>
      </c>
      <c r="M24" s="112" t="s">
        <v>103</v>
      </c>
      <c r="N24" s="112" t="s">
        <v>349</v>
      </c>
      <c r="O24" s="114">
        <v>0.01</v>
      </c>
      <c r="P24" s="23">
        <v>1.9E-2</v>
      </c>
      <c r="Q24" s="23">
        <v>0.1</v>
      </c>
      <c r="R24" s="108" t="s">
        <v>112</v>
      </c>
      <c r="S24" s="117">
        <v>4.7E-2</v>
      </c>
      <c r="T24" s="113">
        <v>0.1</v>
      </c>
      <c r="U24" s="112" t="s">
        <v>112</v>
      </c>
      <c r="V24" s="115" t="s">
        <v>349</v>
      </c>
      <c r="W24" s="112" t="s">
        <v>112</v>
      </c>
      <c r="X24" s="112" t="s">
        <v>112</v>
      </c>
      <c r="Y24" s="112" t="s">
        <v>112</v>
      </c>
      <c r="Z24" s="112" t="s">
        <v>112</v>
      </c>
      <c r="AA24" s="112" t="s">
        <v>103</v>
      </c>
      <c r="AB24" s="113">
        <v>2.9000000000000001E-2</v>
      </c>
      <c r="AC24" s="114">
        <v>0.01</v>
      </c>
      <c r="AD24" s="23">
        <v>4.3999999999999997E-2</v>
      </c>
      <c r="AE24" s="23">
        <v>0.1</v>
      </c>
      <c r="AF24" s="23">
        <v>1.2E-2</v>
      </c>
      <c r="AG24" s="117">
        <v>3.5000000000000003E-2</v>
      </c>
      <c r="AH24" s="113">
        <v>0.1</v>
      </c>
      <c r="AI24" s="113">
        <v>1.2999999999999999E-2</v>
      </c>
      <c r="AJ24" s="112" t="s">
        <v>349</v>
      </c>
      <c r="AK24" s="112" t="s">
        <v>112</v>
      </c>
      <c r="AL24" s="112" t="s">
        <v>112</v>
      </c>
      <c r="AM24" s="112" t="s">
        <v>439</v>
      </c>
      <c r="AN24" s="112" t="s">
        <v>128</v>
      </c>
      <c r="AO24" s="112" t="s">
        <v>103</v>
      </c>
      <c r="AP24" s="113">
        <v>2.7E-2</v>
      </c>
      <c r="AQ24" s="114">
        <v>0.01</v>
      </c>
      <c r="AR24" s="167">
        <v>1.0999999999999999E-2</v>
      </c>
      <c r="AS24" s="167">
        <v>0.1</v>
      </c>
      <c r="AT24" s="167">
        <v>1.9E-2</v>
      </c>
      <c r="AU24" s="112" t="s">
        <v>349</v>
      </c>
      <c r="AV24" s="112" t="s">
        <v>112</v>
      </c>
      <c r="AW24" s="112" t="s">
        <v>112</v>
      </c>
      <c r="AX24" s="166" t="s">
        <v>112</v>
      </c>
      <c r="AY24" s="112" t="s">
        <v>128</v>
      </c>
      <c r="AZ24" s="112" t="s">
        <v>103</v>
      </c>
      <c r="BA24" s="113">
        <v>1.9E-2</v>
      </c>
      <c r="BB24" s="271">
        <v>0.01</v>
      </c>
      <c r="BC24" s="167">
        <v>1.7999999999999999E-2</v>
      </c>
      <c r="BD24" s="167">
        <v>0.1</v>
      </c>
      <c r="BE24" s="167">
        <v>2.1000000000000001E-2</v>
      </c>
      <c r="BF24" s="112" t="s">
        <v>349</v>
      </c>
      <c r="BG24" s="112" t="s">
        <v>112</v>
      </c>
      <c r="BH24" s="112" t="s">
        <v>112</v>
      </c>
      <c r="BI24" s="112" t="s">
        <v>112</v>
      </c>
      <c r="BJ24" s="112" t="s">
        <v>128</v>
      </c>
      <c r="BK24" s="112" t="s">
        <v>103</v>
      </c>
      <c r="BL24" s="113">
        <v>1.2999999999999999E-2</v>
      </c>
      <c r="BM24" s="271">
        <v>0.01</v>
      </c>
      <c r="BN24" s="167">
        <v>1.0999999999999999E-2</v>
      </c>
      <c r="BO24" s="167">
        <v>0.1</v>
      </c>
      <c r="BP24" s="167">
        <v>2.3E-2</v>
      </c>
      <c r="BQ24" s="112" t="s">
        <v>349</v>
      </c>
      <c r="BR24" s="167">
        <v>2.5000000000000001E-2</v>
      </c>
      <c r="BS24" s="167">
        <v>0.02</v>
      </c>
      <c r="BT24" s="112" t="s">
        <v>349</v>
      </c>
      <c r="BU24" s="113">
        <v>1.6E-2</v>
      </c>
      <c r="BV24" s="113">
        <v>1.4999999999999999E-2</v>
      </c>
      <c r="BW24" s="112" t="s">
        <v>349</v>
      </c>
      <c r="BX24" s="114">
        <v>0.01</v>
      </c>
      <c r="BZ24" s="121">
        <f>Table22[[#This Row],[208-8]]/Table22[[#This Row],[Environmental quality standard maximum (MAC-MKN)*]]</f>
        <v>1.9512195121951219</v>
      </c>
      <c r="CA24" s="123">
        <f>AVERAGE(Table22[[#This Row],[208-1]:[208-3]])/Table22[[#This Row],[Environmental quality standard maximum (MAC-MKN)*]]</f>
        <v>5.4471544715447147</v>
      </c>
    </row>
    <row r="25" spans="1:80" x14ac:dyDescent="0.35">
      <c r="A25" s="8" t="s">
        <v>41</v>
      </c>
      <c r="B25" s="24">
        <v>1.7000000000000001E-2</v>
      </c>
      <c r="D25" s="104" t="s">
        <v>30</v>
      </c>
      <c r="E25" s="36" t="s">
        <v>35</v>
      </c>
      <c r="F25" s="23">
        <v>0.1</v>
      </c>
      <c r="G25" s="23">
        <v>5.8999999999999997E-2</v>
      </c>
      <c r="H25" s="112" t="s">
        <v>349</v>
      </c>
      <c r="I25" s="112" t="s">
        <v>112</v>
      </c>
      <c r="J25" s="112" t="s">
        <v>112</v>
      </c>
      <c r="K25" s="112" t="s">
        <v>349</v>
      </c>
      <c r="L25" s="112" t="s">
        <v>112</v>
      </c>
      <c r="M25" s="112" t="s">
        <v>103</v>
      </c>
      <c r="N25" s="112" t="s">
        <v>349</v>
      </c>
      <c r="O25" s="114">
        <v>0.01</v>
      </c>
      <c r="P25" s="23">
        <v>5.7000000000000002E-2</v>
      </c>
      <c r="Q25" s="23">
        <v>0.1</v>
      </c>
      <c r="R25" s="23">
        <v>0.03</v>
      </c>
      <c r="S25" s="117">
        <v>0.13</v>
      </c>
      <c r="T25" s="113">
        <v>0.1</v>
      </c>
      <c r="U25" s="113">
        <v>3.3000000000000002E-2</v>
      </c>
      <c r="V25" s="115">
        <v>1.4E-2</v>
      </c>
      <c r="W25" s="112" t="s">
        <v>112</v>
      </c>
      <c r="X25" s="112" t="s">
        <v>112</v>
      </c>
      <c r="Y25" s="112" t="s">
        <v>112</v>
      </c>
      <c r="Z25" s="112" t="s">
        <v>112</v>
      </c>
      <c r="AA25" s="112" t="s">
        <v>103</v>
      </c>
      <c r="AB25" s="113">
        <v>6.7000000000000004E-2</v>
      </c>
      <c r="AC25" s="114">
        <v>0.01</v>
      </c>
      <c r="AD25" s="23">
        <v>0.14000000000000001</v>
      </c>
      <c r="AE25" s="23">
        <v>0.1</v>
      </c>
      <c r="AF25" s="23">
        <v>4.1000000000000002E-2</v>
      </c>
      <c r="AG25" s="117">
        <v>0.1</v>
      </c>
      <c r="AH25" s="113">
        <v>0.1</v>
      </c>
      <c r="AI25" s="113">
        <v>5.3999999999999999E-2</v>
      </c>
      <c r="AJ25" s="112" t="s">
        <v>349</v>
      </c>
      <c r="AK25" s="112" t="s">
        <v>112</v>
      </c>
      <c r="AL25" s="112" t="s">
        <v>112</v>
      </c>
      <c r="AM25" s="112" t="s">
        <v>440</v>
      </c>
      <c r="AN25" s="112" t="s">
        <v>128</v>
      </c>
      <c r="AO25" s="112" t="s">
        <v>103</v>
      </c>
      <c r="AP25" s="113">
        <v>6.0999999999999999E-2</v>
      </c>
      <c r="AQ25" s="114">
        <v>0.01</v>
      </c>
      <c r="AR25" s="167">
        <v>4.8000000000000001E-2</v>
      </c>
      <c r="AS25" s="167">
        <v>0.1</v>
      </c>
      <c r="AT25" s="112" t="s">
        <v>112</v>
      </c>
      <c r="AU25" s="112" t="s">
        <v>349</v>
      </c>
      <c r="AV25" s="112">
        <v>1.6E-2</v>
      </c>
      <c r="AW25" s="112" t="s">
        <v>112</v>
      </c>
      <c r="AX25" s="166" t="s">
        <v>112</v>
      </c>
      <c r="AY25" s="112" t="s">
        <v>128</v>
      </c>
      <c r="AZ25" s="112" t="s">
        <v>103</v>
      </c>
      <c r="BA25" s="113">
        <v>4.7E-2</v>
      </c>
      <c r="BB25" s="271">
        <v>0.01</v>
      </c>
      <c r="BC25" s="113">
        <v>7.0000000000000007E-2</v>
      </c>
      <c r="BD25" s="113">
        <v>0.24</v>
      </c>
      <c r="BE25" s="112" t="s">
        <v>112</v>
      </c>
      <c r="BF25" s="112" t="s">
        <v>349</v>
      </c>
      <c r="BG25" s="112" t="s">
        <v>112</v>
      </c>
      <c r="BH25" s="112" t="s">
        <v>112</v>
      </c>
      <c r="BI25" s="112" t="s">
        <v>112</v>
      </c>
      <c r="BJ25" s="112" t="s">
        <v>128</v>
      </c>
      <c r="BK25" s="112" t="s">
        <v>103</v>
      </c>
      <c r="BL25" s="113">
        <v>3.4000000000000002E-2</v>
      </c>
      <c r="BM25" s="271">
        <v>0.01</v>
      </c>
      <c r="BN25" s="167">
        <v>5.0999999999999997E-2</v>
      </c>
      <c r="BO25" s="167">
        <v>0.11</v>
      </c>
      <c r="BP25" s="112" t="s">
        <v>112</v>
      </c>
      <c r="BQ25" s="167">
        <v>2.8000000000000001E-2</v>
      </c>
      <c r="BR25" s="167">
        <v>8.7999999999999995E-2</v>
      </c>
      <c r="BS25" s="167">
        <v>8.3000000000000004E-2</v>
      </c>
      <c r="BT25" s="112" t="s">
        <v>349</v>
      </c>
      <c r="BU25" s="113">
        <v>3.7999999999999999E-2</v>
      </c>
      <c r="BV25" s="113">
        <v>6.4000000000000001E-2</v>
      </c>
      <c r="BW25" s="113">
        <v>3.3000000000000002E-2</v>
      </c>
      <c r="BX25" s="114">
        <v>0.01</v>
      </c>
      <c r="BZ25" s="121">
        <f>Table22[[#This Row],[208-8]]/Table22[[#This Row],[Environmental quality standard maximum (MAC-MKN)*]]</f>
        <v>2.2352941176470584</v>
      </c>
      <c r="CA25" s="123">
        <f>AVERAGE(Table22[[#This Row],[208-1]:[208-3]])/Table22[[#This Row],[Environmental quality standard maximum (MAC-MKN)*]]</f>
        <v>4.7352941176470589</v>
      </c>
    </row>
    <row r="26" spans="1:80" x14ac:dyDescent="0.35">
      <c r="A26" s="8" t="s">
        <v>42</v>
      </c>
      <c r="B26" s="24" t="s">
        <v>108</v>
      </c>
      <c r="C26" s="24">
        <v>0.3</v>
      </c>
      <c r="D26" s="104" t="s">
        <v>30</v>
      </c>
      <c r="E26" s="36" t="s">
        <v>35</v>
      </c>
      <c r="F26" s="23">
        <v>0.1</v>
      </c>
      <c r="G26" s="23">
        <v>1.4E-2</v>
      </c>
      <c r="H26" s="112" t="s">
        <v>349</v>
      </c>
      <c r="I26" s="112" t="s">
        <v>112</v>
      </c>
      <c r="J26" s="112" t="s">
        <v>112</v>
      </c>
      <c r="K26" s="112" t="s">
        <v>349</v>
      </c>
      <c r="L26" s="112" t="s">
        <v>112</v>
      </c>
      <c r="M26" s="112" t="s">
        <v>103</v>
      </c>
      <c r="N26" s="112" t="s">
        <v>349</v>
      </c>
      <c r="O26" s="114">
        <v>0.01</v>
      </c>
      <c r="P26" s="23" t="s">
        <v>35</v>
      </c>
      <c r="Q26" s="23">
        <v>0.1</v>
      </c>
      <c r="R26" s="108" t="s">
        <v>112</v>
      </c>
      <c r="S26" s="115">
        <v>1.4E-2</v>
      </c>
      <c r="T26" s="112">
        <v>0.1</v>
      </c>
      <c r="U26" s="112" t="s">
        <v>112</v>
      </c>
      <c r="V26" s="115" t="s">
        <v>349</v>
      </c>
      <c r="W26" s="112" t="s">
        <v>112</v>
      </c>
      <c r="X26" s="112" t="s">
        <v>112</v>
      </c>
      <c r="Y26" s="112" t="s">
        <v>112</v>
      </c>
      <c r="Z26" s="112" t="s">
        <v>112</v>
      </c>
      <c r="AA26" s="112" t="s">
        <v>103</v>
      </c>
      <c r="AB26" s="112">
        <v>1.4E-2</v>
      </c>
      <c r="AC26" s="114">
        <v>0.01</v>
      </c>
      <c r="AD26" s="23">
        <v>1.4E-2</v>
      </c>
      <c r="AE26" s="23">
        <v>0.1</v>
      </c>
      <c r="AF26" s="108" t="s">
        <v>112</v>
      </c>
      <c r="AG26" s="115" t="s">
        <v>35</v>
      </c>
      <c r="AH26" s="112">
        <v>0.1</v>
      </c>
      <c r="AI26" s="112" t="s">
        <v>112</v>
      </c>
      <c r="AJ26" s="112" t="s">
        <v>349</v>
      </c>
      <c r="AK26" s="112" t="s">
        <v>112</v>
      </c>
      <c r="AL26" s="112" t="s">
        <v>112</v>
      </c>
      <c r="AM26" s="112" t="s">
        <v>441</v>
      </c>
      <c r="AN26" s="112" t="s">
        <v>128</v>
      </c>
      <c r="AO26" s="112" t="s">
        <v>103</v>
      </c>
      <c r="AP26" s="112" t="s">
        <v>349</v>
      </c>
      <c r="AQ26" s="114">
        <v>0.01</v>
      </c>
      <c r="AR26" s="112" t="s">
        <v>35</v>
      </c>
      <c r="AS26" s="112">
        <v>0.1</v>
      </c>
      <c r="AT26" s="112" t="s">
        <v>112</v>
      </c>
      <c r="AU26" s="112" t="s">
        <v>349</v>
      </c>
      <c r="AV26" s="112" t="s">
        <v>112</v>
      </c>
      <c r="AW26" s="112" t="s">
        <v>112</v>
      </c>
      <c r="AX26" s="166" t="s">
        <v>112</v>
      </c>
      <c r="AY26" s="112" t="s">
        <v>128</v>
      </c>
      <c r="AZ26" s="112" t="s">
        <v>103</v>
      </c>
      <c r="BA26" s="112" t="s">
        <v>349</v>
      </c>
      <c r="BB26" s="271">
        <v>0.01</v>
      </c>
      <c r="BC26" s="112" t="s">
        <v>35</v>
      </c>
      <c r="BD26" s="112">
        <v>0.1</v>
      </c>
      <c r="BE26" s="112" t="s">
        <v>112</v>
      </c>
      <c r="BF26" s="112" t="s">
        <v>349</v>
      </c>
      <c r="BG26" s="112" t="s">
        <v>112</v>
      </c>
      <c r="BH26" s="112" t="s">
        <v>112</v>
      </c>
      <c r="BI26" s="112" t="s">
        <v>112</v>
      </c>
      <c r="BJ26" s="112" t="s">
        <v>128</v>
      </c>
      <c r="BK26" s="112" t="s">
        <v>103</v>
      </c>
      <c r="BL26" s="112" t="s">
        <v>349</v>
      </c>
      <c r="BM26" s="271">
        <v>0.01</v>
      </c>
      <c r="BN26" s="112" t="s">
        <v>35</v>
      </c>
      <c r="BO26" s="112">
        <v>0.1</v>
      </c>
      <c r="BP26" s="112" t="s">
        <v>112</v>
      </c>
      <c r="BQ26" s="112" t="s">
        <v>349</v>
      </c>
      <c r="BR26" s="112" t="s">
        <v>112</v>
      </c>
      <c r="BS26" s="112" t="s">
        <v>112</v>
      </c>
      <c r="BT26" s="112" t="s">
        <v>349</v>
      </c>
      <c r="BU26" s="112" t="s">
        <v>112</v>
      </c>
      <c r="BV26" s="112" t="s">
        <v>103</v>
      </c>
      <c r="BW26" s="112" t="s">
        <v>349</v>
      </c>
      <c r="BX26" s="114">
        <v>0.01</v>
      </c>
    </row>
    <row r="27" spans="1:80" x14ac:dyDescent="0.35">
      <c r="A27" s="8" t="s">
        <v>43</v>
      </c>
      <c r="B27" s="24" t="s">
        <v>108</v>
      </c>
      <c r="C27" s="24">
        <v>4</v>
      </c>
      <c r="D27" s="104" t="s">
        <v>30</v>
      </c>
      <c r="E27" s="36" t="s">
        <v>81</v>
      </c>
      <c r="F27" s="23">
        <v>0.5</v>
      </c>
      <c r="G27" s="23">
        <v>7.0000000000000007E-2</v>
      </c>
      <c r="H27" s="112" t="s">
        <v>350</v>
      </c>
      <c r="I27" s="112" t="s">
        <v>128</v>
      </c>
      <c r="J27" s="112" t="s">
        <v>128</v>
      </c>
      <c r="K27" s="112" t="s">
        <v>128</v>
      </c>
      <c r="L27" s="112" t="s">
        <v>128</v>
      </c>
      <c r="M27" s="112" t="s">
        <v>472</v>
      </c>
      <c r="N27" s="112" t="s">
        <v>350</v>
      </c>
      <c r="O27" s="114">
        <v>0.05</v>
      </c>
      <c r="P27" s="23">
        <v>0.17</v>
      </c>
      <c r="Q27" s="23">
        <v>0.5</v>
      </c>
      <c r="R27" s="108">
        <v>0.5</v>
      </c>
      <c r="S27" s="115">
        <v>0.22</v>
      </c>
      <c r="T27" s="112">
        <v>0.5</v>
      </c>
      <c r="U27" s="112">
        <v>0.7</v>
      </c>
      <c r="V27" s="115" t="s">
        <v>350</v>
      </c>
      <c r="W27" s="112" t="s">
        <v>128</v>
      </c>
      <c r="X27" s="112" t="s">
        <v>128</v>
      </c>
      <c r="Y27" s="112" t="s">
        <v>350</v>
      </c>
      <c r="Z27" s="112" t="s">
        <v>128</v>
      </c>
      <c r="AA27" s="112">
        <v>0.16</v>
      </c>
      <c r="AB27" s="112">
        <v>0.32</v>
      </c>
      <c r="AC27" s="114">
        <v>0.05</v>
      </c>
      <c r="AD27" s="23">
        <v>0.26</v>
      </c>
      <c r="AE27" s="23">
        <v>0.5</v>
      </c>
      <c r="AF27" s="23">
        <v>0.77</v>
      </c>
      <c r="AG27" s="115">
        <v>0.18</v>
      </c>
      <c r="AH27" s="112">
        <v>0.5</v>
      </c>
      <c r="AI27" s="112">
        <v>0.79</v>
      </c>
      <c r="AJ27" s="112" t="s">
        <v>350</v>
      </c>
      <c r="AK27" s="112">
        <v>5.8000000000000003E-2</v>
      </c>
      <c r="AL27" s="112" t="s">
        <v>128</v>
      </c>
      <c r="AM27" s="112" t="s">
        <v>350</v>
      </c>
      <c r="AN27" s="112" t="s">
        <v>460</v>
      </c>
      <c r="AO27" s="112">
        <v>0.12</v>
      </c>
      <c r="AP27" s="112">
        <v>0.28999999999999998</v>
      </c>
      <c r="AQ27" s="114">
        <v>0.15</v>
      </c>
      <c r="AR27" s="112">
        <v>0.19</v>
      </c>
      <c r="AS27" s="112">
        <v>0.5</v>
      </c>
      <c r="AT27" s="112">
        <v>0.59</v>
      </c>
      <c r="AU27" s="112" t="s">
        <v>350</v>
      </c>
      <c r="AV27" s="112" t="s">
        <v>128</v>
      </c>
      <c r="AW27" s="166">
        <v>5.0999999999999997E-2</v>
      </c>
      <c r="AX27" s="112">
        <v>0.16</v>
      </c>
      <c r="AY27" s="112" t="s">
        <v>460</v>
      </c>
      <c r="AZ27" s="112">
        <v>0.15</v>
      </c>
      <c r="BA27" s="112">
        <v>0.19</v>
      </c>
      <c r="BB27" s="271">
        <v>0.05</v>
      </c>
      <c r="BC27" s="112">
        <v>0.18</v>
      </c>
      <c r="BD27" s="112">
        <v>0.5</v>
      </c>
      <c r="BE27" s="112">
        <v>0.35</v>
      </c>
      <c r="BF27" s="112" t="s">
        <v>350</v>
      </c>
      <c r="BG27" s="112" t="s">
        <v>128</v>
      </c>
      <c r="BH27" s="112">
        <v>6.8000000000000005E-2</v>
      </c>
      <c r="BI27" s="112">
        <v>9.9000000000000005E-2</v>
      </c>
      <c r="BJ27" s="112">
        <v>1.7</v>
      </c>
      <c r="BK27" s="112">
        <v>0.13</v>
      </c>
      <c r="BL27" s="112">
        <v>0.19</v>
      </c>
      <c r="BM27" s="114">
        <v>5.2999999999999999E-2</v>
      </c>
      <c r="BN27" s="112">
        <v>0.13</v>
      </c>
      <c r="BO27" s="112">
        <v>0.5</v>
      </c>
      <c r="BP27" s="112" t="s">
        <v>128</v>
      </c>
      <c r="BQ27" s="112">
        <v>6.7000000000000004E-2</v>
      </c>
      <c r="BR27" s="112" t="s">
        <v>128</v>
      </c>
      <c r="BS27" s="112" t="s">
        <v>128</v>
      </c>
      <c r="BT27" s="112" t="s">
        <v>350</v>
      </c>
      <c r="BU27" s="112">
        <v>0.14000000000000001</v>
      </c>
      <c r="BV27" s="112">
        <v>9.7000000000000003E-2</v>
      </c>
      <c r="BW27" s="112" t="s">
        <v>350</v>
      </c>
      <c r="BX27" s="114">
        <v>0.05</v>
      </c>
    </row>
    <row r="28" spans="1:80" x14ac:dyDescent="0.35">
      <c r="A28" s="122" t="s">
        <v>44</v>
      </c>
      <c r="B28" s="24" t="s">
        <v>108</v>
      </c>
      <c r="C28" s="24">
        <v>0.06</v>
      </c>
      <c r="D28" s="104" t="s">
        <v>30</v>
      </c>
      <c r="E28" s="36">
        <v>0.41</v>
      </c>
      <c r="F28" s="23">
        <v>0.12</v>
      </c>
      <c r="G28" s="23">
        <v>0.56999999999999995</v>
      </c>
      <c r="H28" s="113">
        <v>0.22</v>
      </c>
      <c r="I28" s="167">
        <v>0.34</v>
      </c>
      <c r="J28" s="167">
        <v>0.41</v>
      </c>
      <c r="K28" s="167">
        <v>0.44</v>
      </c>
      <c r="L28" s="167">
        <v>0.23</v>
      </c>
      <c r="M28" s="113">
        <v>0.28999999999999998</v>
      </c>
      <c r="N28" s="113">
        <v>0.26</v>
      </c>
      <c r="O28" s="165">
        <v>7.3999999999999996E-2</v>
      </c>
      <c r="P28" s="23">
        <v>9.6999999999999993</v>
      </c>
      <c r="Q28" s="23">
        <v>3.9</v>
      </c>
      <c r="R28" s="23">
        <v>11</v>
      </c>
      <c r="S28" s="117">
        <v>10</v>
      </c>
      <c r="T28" s="113">
        <v>3.2</v>
      </c>
      <c r="U28" s="113">
        <v>12</v>
      </c>
      <c r="V28" s="117">
        <v>0.6</v>
      </c>
      <c r="W28" s="113">
        <v>0.92</v>
      </c>
      <c r="X28" s="113">
        <v>0.73</v>
      </c>
      <c r="Y28" s="113">
        <v>1.7</v>
      </c>
      <c r="Z28" s="113">
        <v>0.19</v>
      </c>
      <c r="AA28" s="113">
        <v>3.3</v>
      </c>
      <c r="AB28" s="113">
        <v>6.5</v>
      </c>
      <c r="AC28" s="165">
        <v>0.35</v>
      </c>
      <c r="AD28" s="23">
        <v>18</v>
      </c>
      <c r="AE28" s="23">
        <v>6.3</v>
      </c>
      <c r="AF28" s="23">
        <v>14</v>
      </c>
      <c r="AG28" s="117">
        <v>12</v>
      </c>
      <c r="AH28" s="113">
        <v>7.5</v>
      </c>
      <c r="AI28" s="113">
        <v>14</v>
      </c>
      <c r="AJ28" s="113">
        <v>1.7</v>
      </c>
      <c r="AK28" s="113">
        <v>1.1000000000000001</v>
      </c>
      <c r="AL28" s="113">
        <v>0.85</v>
      </c>
      <c r="AM28" s="113">
        <v>5.7</v>
      </c>
      <c r="AN28" s="113">
        <v>0.54</v>
      </c>
      <c r="AO28" s="113">
        <v>2.6</v>
      </c>
      <c r="AP28" s="113">
        <v>7</v>
      </c>
      <c r="AQ28" s="165">
        <v>3.4</v>
      </c>
      <c r="AR28" s="167">
        <v>14</v>
      </c>
      <c r="AS28" s="167">
        <v>9.4</v>
      </c>
      <c r="AT28" s="167">
        <v>8.9</v>
      </c>
      <c r="AU28" s="167">
        <v>2.2000000000000002</v>
      </c>
      <c r="AV28" s="166" t="s">
        <v>112</v>
      </c>
      <c r="AW28" s="167">
        <v>1.5</v>
      </c>
      <c r="AX28" s="167">
        <v>4.5999999999999996</v>
      </c>
      <c r="AY28" s="167">
        <v>1.6</v>
      </c>
      <c r="AZ28" s="167">
        <v>3.3</v>
      </c>
      <c r="BA28" s="167">
        <v>4.9000000000000004</v>
      </c>
      <c r="BB28" s="161">
        <v>0.26</v>
      </c>
      <c r="BC28" s="113">
        <v>14</v>
      </c>
      <c r="BD28" s="113">
        <v>10</v>
      </c>
      <c r="BE28" s="113">
        <v>4.4000000000000004</v>
      </c>
      <c r="BF28" s="113">
        <v>2.6</v>
      </c>
      <c r="BG28" s="113">
        <v>0.59</v>
      </c>
      <c r="BH28" s="113">
        <v>2.1</v>
      </c>
      <c r="BI28" s="113">
        <v>4.0999999999999996</v>
      </c>
      <c r="BJ28" s="113">
        <v>0.6</v>
      </c>
      <c r="BK28" s="113">
        <v>2.5</v>
      </c>
      <c r="BL28" s="113">
        <v>4</v>
      </c>
      <c r="BM28" s="165">
        <v>1.3</v>
      </c>
      <c r="BN28" s="113">
        <v>6.7</v>
      </c>
      <c r="BO28" s="113">
        <v>15</v>
      </c>
      <c r="BP28" s="113">
        <v>0.55000000000000004</v>
      </c>
      <c r="BQ28" s="113">
        <v>4.3</v>
      </c>
      <c r="BR28" s="167">
        <v>6.4000000000000001E-2</v>
      </c>
      <c r="BS28" s="112">
        <v>4.9000000000000002E-2</v>
      </c>
      <c r="BT28" s="167">
        <v>0.81</v>
      </c>
      <c r="BU28" s="167">
        <v>3.1</v>
      </c>
      <c r="BV28" s="167">
        <v>2</v>
      </c>
      <c r="BW28" s="167">
        <v>0.73</v>
      </c>
      <c r="BX28" s="161">
        <v>0.38</v>
      </c>
      <c r="BY28" s="1">
        <v>2.6</v>
      </c>
      <c r="BZ28" s="123">
        <f>Table22[[#This Row],[208-8]]/Table22[[#This Row],[Environmental quality standard average (JG-MKN)*]]</f>
        <v>51.666666666666671</v>
      </c>
      <c r="CA28" s="123">
        <f>AVERAGE(Table22[[#This Row],[208-1]:[208-3]])/Table22[[#This Row],[Environmental quality standard average (JG-MKN)*]]</f>
        <v>123.61111111111111</v>
      </c>
      <c r="CB28" s="123"/>
    </row>
    <row r="29" spans="1:80" x14ac:dyDescent="0.35">
      <c r="A29" s="8" t="s">
        <v>45</v>
      </c>
      <c r="D29" s="104" t="s">
        <v>30</v>
      </c>
      <c r="E29" s="36">
        <v>1.8</v>
      </c>
      <c r="F29" s="23">
        <v>0.66</v>
      </c>
      <c r="G29" s="23">
        <v>3.2</v>
      </c>
      <c r="H29" s="23">
        <v>0.47</v>
      </c>
      <c r="I29" s="23">
        <v>0.53</v>
      </c>
      <c r="J29" s="23">
        <v>0.7</v>
      </c>
      <c r="K29" s="23">
        <v>0.83</v>
      </c>
      <c r="L29" s="23">
        <v>0.34</v>
      </c>
      <c r="M29" s="23">
        <v>2.1</v>
      </c>
      <c r="N29" s="23">
        <v>2.2000000000000002</v>
      </c>
      <c r="O29" s="108">
        <v>0.21</v>
      </c>
      <c r="P29" s="23">
        <v>73</v>
      </c>
      <c r="Q29" s="23">
        <v>25</v>
      </c>
      <c r="R29" s="23">
        <v>20</v>
      </c>
      <c r="S29" s="36">
        <v>99</v>
      </c>
      <c r="T29" s="23">
        <v>57</v>
      </c>
      <c r="U29" s="23">
        <v>21</v>
      </c>
      <c r="V29" s="36">
        <v>2.1</v>
      </c>
      <c r="W29" s="23">
        <v>2.6</v>
      </c>
      <c r="X29" s="23">
        <v>1.5</v>
      </c>
      <c r="Y29" s="23">
        <v>4.5</v>
      </c>
      <c r="Z29" s="23">
        <v>0.25</v>
      </c>
      <c r="AA29" s="23">
        <v>6.3</v>
      </c>
      <c r="AB29" s="23">
        <v>13</v>
      </c>
      <c r="AC29" s="108">
        <v>0.71</v>
      </c>
      <c r="AD29" s="23">
        <v>170</v>
      </c>
      <c r="AE29" s="23">
        <v>77</v>
      </c>
      <c r="AF29" s="23">
        <v>27</v>
      </c>
      <c r="AG29" s="36">
        <v>100</v>
      </c>
      <c r="AH29" s="23">
        <v>86</v>
      </c>
      <c r="AI29" s="23">
        <v>27</v>
      </c>
      <c r="AJ29" s="23">
        <v>14</v>
      </c>
      <c r="AK29" s="23">
        <v>1.8</v>
      </c>
      <c r="AL29" s="23">
        <v>4.8</v>
      </c>
      <c r="AM29" s="23">
        <v>45</v>
      </c>
      <c r="AN29" s="23">
        <v>7.6</v>
      </c>
      <c r="AO29" s="23">
        <v>11</v>
      </c>
      <c r="AP29" s="23">
        <v>12</v>
      </c>
      <c r="AQ29" s="108">
        <v>7.2</v>
      </c>
      <c r="AR29" s="23">
        <v>96</v>
      </c>
      <c r="AS29" s="23">
        <v>80</v>
      </c>
      <c r="AT29" s="23">
        <v>20</v>
      </c>
      <c r="AU29" s="23">
        <v>15</v>
      </c>
      <c r="AV29" s="23">
        <v>0.38</v>
      </c>
      <c r="AW29" s="23">
        <v>2.4</v>
      </c>
      <c r="AX29" s="23">
        <v>18</v>
      </c>
      <c r="AY29" s="23">
        <v>13</v>
      </c>
      <c r="AZ29" s="23">
        <v>8.5</v>
      </c>
      <c r="BA29" s="23">
        <v>8.9</v>
      </c>
      <c r="BB29" s="108">
        <v>0.49</v>
      </c>
      <c r="BC29" s="23">
        <v>97</v>
      </c>
      <c r="BD29" s="23">
        <v>93</v>
      </c>
      <c r="BE29" s="23">
        <v>13</v>
      </c>
      <c r="BF29" s="23">
        <v>11</v>
      </c>
      <c r="BG29" s="23">
        <v>1.5</v>
      </c>
      <c r="BH29" s="23">
        <v>3.4</v>
      </c>
      <c r="BI29" s="23">
        <v>11</v>
      </c>
      <c r="BJ29" s="23">
        <v>13</v>
      </c>
      <c r="BK29" s="23">
        <v>13</v>
      </c>
      <c r="BL29" s="23">
        <v>6.4</v>
      </c>
      <c r="BM29" s="108">
        <v>3</v>
      </c>
      <c r="BN29" s="23">
        <v>28</v>
      </c>
      <c r="BO29" s="23">
        <v>79</v>
      </c>
      <c r="BP29" s="23">
        <v>4.0999999999999996</v>
      </c>
      <c r="BQ29" s="23">
        <v>11</v>
      </c>
      <c r="BR29" s="23">
        <v>1.3</v>
      </c>
      <c r="BS29" s="23">
        <v>0.59</v>
      </c>
      <c r="BT29" s="23">
        <v>2.6</v>
      </c>
      <c r="BU29" s="23">
        <v>10</v>
      </c>
      <c r="BV29" s="23">
        <v>7.5</v>
      </c>
      <c r="BW29" s="23">
        <v>2.2000000000000002</v>
      </c>
      <c r="BX29" s="108">
        <v>1.1000000000000001</v>
      </c>
    </row>
    <row r="30" spans="1:80" x14ac:dyDescent="0.35">
      <c r="A30" s="8" t="s">
        <v>46</v>
      </c>
      <c r="B30" s="24" t="s">
        <v>108</v>
      </c>
      <c r="C30" s="24">
        <v>2</v>
      </c>
      <c r="D30" s="104" t="s">
        <v>30</v>
      </c>
      <c r="E30" s="36">
        <v>0.25</v>
      </c>
      <c r="F30" s="23">
        <v>0.12</v>
      </c>
      <c r="G30" s="23">
        <v>3.5000000000000003E-2</v>
      </c>
      <c r="H30" s="112">
        <v>8.5000000000000006E-2</v>
      </c>
      <c r="I30" s="112">
        <v>6.7000000000000004E-2</v>
      </c>
      <c r="J30" s="112">
        <v>0.13</v>
      </c>
      <c r="K30" s="112">
        <v>0.12</v>
      </c>
      <c r="L30" s="112">
        <v>3.6999999999999998E-2</v>
      </c>
      <c r="M30" s="112">
        <v>0.06</v>
      </c>
      <c r="N30" s="112">
        <v>0.11</v>
      </c>
      <c r="O30" s="114">
        <v>3.2000000000000001E-2</v>
      </c>
      <c r="P30" s="23">
        <v>6.7</v>
      </c>
      <c r="Q30" s="23">
        <v>2.6</v>
      </c>
      <c r="R30" s="23">
        <v>1.3</v>
      </c>
      <c r="S30" s="117">
        <v>7.4</v>
      </c>
      <c r="T30" s="113">
        <v>2</v>
      </c>
      <c r="U30" s="112">
        <v>1.3</v>
      </c>
      <c r="V30" s="115">
        <v>0.18</v>
      </c>
      <c r="W30" s="112">
        <v>0.3</v>
      </c>
      <c r="X30" s="112">
        <v>0.22</v>
      </c>
      <c r="Y30" s="112">
        <v>0.75</v>
      </c>
      <c r="Z30" s="112" t="s">
        <v>112</v>
      </c>
      <c r="AA30" s="112">
        <v>1.5</v>
      </c>
      <c r="AB30" s="112">
        <v>1.8</v>
      </c>
      <c r="AC30" s="114">
        <v>0.13</v>
      </c>
      <c r="AD30" s="23">
        <v>14</v>
      </c>
      <c r="AE30" s="23">
        <v>4.3</v>
      </c>
      <c r="AF30" s="23">
        <v>1.5</v>
      </c>
      <c r="AG30" s="117">
        <v>7.8</v>
      </c>
      <c r="AH30" s="113">
        <v>5.4</v>
      </c>
      <c r="AI30" s="112">
        <v>1.1000000000000001</v>
      </c>
      <c r="AJ30" s="112">
        <v>0.89</v>
      </c>
      <c r="AK30" s="112">
        <v>0.2</v>
      </c>
      <c r="AL30" s="112">
        <v>0.28999999999999998</v>
      </c>
      <c r="AM30" s="113">
        <v>2.7</v>
      </c>
      <c r="AN30" s="112">
        <v>0.19</v>
      </c>
      <c r="AO30" s="112">
        <v>0.96</v>
      </c>
      <c r="AP30" s="112">
        <v>1.5</v>
      </c>
      <c r="AQ30" s="114">
        <v>1.7</v>
      </c>
      <c r="AR30" s="167">
        <v>8.1999999999999993</v>
      </c>
      <c r="AS30" s="167">
        <v>6</v>
      </c>
      <c r="AT30" s="112">
        <v>0.36</v>
      </c>
      <c r="AU30" s="112">
        <v>1.1000000000000001</v>
      </c>
      <c r="AV30" s="112">
        <v>1.0999999999999999E-2</v>
      </c>
      <c r="AW30" s="112">
        <v>0.5</v>
      </c>
      <c r="AX30" s="112">
        <v>2.1</v>
      </c>
      <c r="AY30" s="112">
        <v>0.55000000000000004</v>
      </c>
      <c r="AZ30" s="112">
        <v>0.89</v>
      </c>
      <c r="BA30" s="112">
        <v>1</v>
      </c>
      <c r="BB30" s="271">
        <v>0.01</v>
      </c>
      <c r="BC30" s="113">
        <v>8.4</v>
      </c>
      <c r="BD30" s="113">
        <v>7</v>
      </c>
      <c r="BE30" s="112">
        <v>0.17</v>
      </c>
      <c r="BF30" s="112">
        <v>1.2</v>
      </c>
      <c r="BG30" s="112">
        <v>2.1999999999999999E-2</v>
      </c>
      <c r="BH30" s="112">
        <v>0.73</v>
      </c>
      <c r="BI30" s="112">
        <v>1.5</v>
      </c>
      <c r="BJ30" s="112">
        <v>0.6</v>
      </c>
      <c r="BK30" s="112">
        <v>0.96</v>
      </c>
      <c r="BL30" s="112">
        <v>0.69</v>
      </c>
      <c r="BM30" s="114">
        <v>0.34</v>
      </c>
      <c r="BN30" s="113">
        <v>3.9</v>
      </c>
      <c r="BO30" s="113">
        <v>9.6999999999999993</v>
      </c>
      <c r="BP30" s="112">
        <v>9.8000000000000004E-2</v>
      </c>
      <c r="BQ30" s="112">
        <v>1.8</v>
      </c>
      <c r="BR30" s="112">
        <v>1.4E-2</v>
      </c>
      <c r="BS30" s="112">
        <v>1.9E-2</v>
      </c>
      <c r="BT30" s="112">
        <v>2.1999999999999999E-2</v>
      </c>
      <c r="BU30" s="112">
        <v>1</v>
      </c>
      <c r="BV30" s="112">
        <v>0.41</v>
      </c>
      <c r="BW30" s="112">
        <v>3.4000000000000002E-2</v>
      </c>
      <c r="BX30" s="114">
        <v>0.01</v>
      </c>
      <c r="CA30" s="123">
        <f>AVERAGE(Table22[[#This Row],[208-1]:[208-3]])/Table22[[#This Row],[Environmental quality standard average (JG-MKN)*]]</f>
        <v>2.2829999999999999</v>
      </c>
    </row>
    <row r="31" spans="1:80" x14ac:dyDescent="0.35">
      <c r="A31" s="8" t="s">
        <v>47</v>
      </c>
      <c r="D31" s="104" t="s">
        <v>30</v>
      </c>
      <c r="E31" s="36">
        <v>0.19</v>
      </c>
      <c r="F31" s="23">
        <v>0.17</v>
      </c>
      <c r="G31" s="23"/>
      <c r="H31" s="23"/>
      <c r="I31" s="23"/>
      <c r="J31" s="23"/>
      <c r="K31" s="23"/>
      <c r="L31" s="23"/>
      <c r="M31" s="23"/>
      <c r="N31" s="23"/>
      <c r="O31" s="108"/>
      <c r="P31" s="23">
        <v>4.3</v>
      </c>
      <c r="Q31" s="23">
        <v>1.5</v>
      </c>
      <c r="R31" s="23"/>
      <c r="S31" s="36">
        <v>5.3</v>
      </c>
      <c r="T31" s="23">
        <v>1.5</v>
      </c>
      <c r="U31" s="23"/>
      <c r="V31" s="36"/>
      <c r="W31" s="23"/>
      <c r="X31" s="23"/>
      <c r="Y31" s="23"/>
      <c r="Z31" s="23"/>
      <c r="AA31" s="23"/>
      <c r="AB31" s="23"/>
      <c r="AC31" s="108"/>
      <c r="AD31" s="23">
        <v>8.9</v>
      </c>
      <c r="AE31" s="23">
        <v>1.9</v>
      </c>
      <c r="AF31" s="23"/>
      <c r="AG31" s="36">
        <v>5.4</v>
      </c>
      <c r="AH31" s="23">
        <v>2.5</v>
      </c>
      <c r="AI31" s="23"/>
      <c r="AJ31" s="23"/>
      <c r="AK31" s="23"/>
      <c r="AL31" s="23"/>
      <c r="AM31" s="23"/>
      <c r="AN31" s="23"/>
      <c r="AO31" s="23"/>
      <c r="AP31" s="23"/>
      <c r="AQ31" s="108"/>
      <c r="AR31" s="23">
        <v>5.2</v>
      </c>
      <c r="AS31" s="23">
        <v>1.9</v>
      </c>
      <c r="AT31" s="23"/>
      <c r="AU31" s="23"/>
      <c r="AV31" s="23"/>
      <c r="AW31" s="23"/>
      <c r="AX31" s="23"/>
      <c r="AY31" s="23"/>
      <c r="AZ31" s="23"/>
      <c r="BA31" s="23"/>
      <c r="BB31" s="108"/>
      <c r="BC31" s="23">
        <v>5.9</v>
      </c>
      <c r="BD31" s="23">
        <v>6.8</v>
      </c>
      <c r="BE31" s="23"/>
      <c r="BF31" s="23"/>
      <c r="BG31" s="23"/>
      <c r="BH31" s="23"/>
      <c r="BI31" s="23"/>
      <c r="BJ31" s="23"/>
      <c r="BK31" s="23"/>
      <c r="BL31" s="23"/>
      <c r="BM31" s="108"/>
      <c r="BN31" s="23">
        <v>6</v>
      </c>
      <c r="BO31" s="23">
        <v>8.1</v>
      </c>
      <c r="BP31" s="23"/>
      <c r="BQ31" s="23"/>
      <c r="BR31" s="23"/>
      <c r="BS31" s="23"/>
      <c r="BT31" s="23"/>
      <c r="BU31" s="23"/>
      <c r="BV31" s="23"/>
      <c r="BW31" s="23"/>
      <c r="BX31" s="108"/>
    </row>
    <row r="32" spans="1:80" x14ac:dyDescent="0.35">
      <c r="A32" s="8"/>
      <c r="D32" s="104"/>
      <c r="E32" s="25"/>
      <c r="I32" s="23"/>
      <c r="J32" s="111"/>
      <c r="K32" s="111"/>
      <c r="L32" s="23"/>
      <c r="M32" s="23"/>
      <c r="N32" s="23"/>
      <c r="O32" s="108"/>
      <c r="S32" s="25"/>
      <c r="V32" s="25"/>
      <c r="W32" s="23"/>
      <c r="AB32" s="23"/>
      <c r="AC32" s="160"/>
      <c r="AG32" s="25"/>
      <c r="AK32" s="23"/>
      <c r="AL32" s="111"/>
      <c r="AM32" s="23"/>
      <c r="AN32" s="23"/>
      <c r="AO32" s="111"/>
      <c r="AP32" s="23"/>
      <c r="AQ32" s="160"/>
      <c r="AV32" s="23"/>
      <c r="AW32" s="23"/>
      <c r="AX32" s="23"/>
      <c r="AY32" s="23"/>
      <c r="AZ32" s="23"/>
      <c r="BA32" s="42"/>
      <c r="BB32" s="108"/>
      <c r="BG32" s="23"/>
      <c r="BH32" s="23"/>
      <c r="BI32" s="23"/>
      <c r="BJ32" s="23"/>
      <c r="BK32" s="23"/>
      <c r="BL32" s="23"/>
      <c r="BM32" s="108"/>
      <c r="BQ32" s="24"/>
      <c r="BR32" s="111"/>
      <c r="BS32" s="111"/>
      <c r="BT32" s="23"/>
      <c r="BU32" s="23"/>
      <c r="BV32" s="23"/>
      <c r="BW32" s="23"/>
      <c r="BX32" s="108"/>
      <c r="CA32" s="123">
        <f>AVERAGE(CA15:CA30)</f>
        <v>37.760540039321967</v>
      </c>
    </row>
    <row r="33" spans="1:79" x14ac:dyDescent="0.35">
      <c r="A33" s="12" t="s">
        <v>48</v>
      </c>
      <c r="B33" s="32"/>
      <c r="C33" s="32"/>
      <c r="D33" s="107"/>
      <c r="E33" s="33"/>
      <c r="F33" s="32"/>
      <c r="G33" s="32"/>
      <c r="H33" s="32"/>
      <c r="I33" s="162"/>
      <c r="J33" s="162"/>
      <c r="K33" s="162"/>
      <c r="L33" s="162"/>
      <c r="M33" s="162"/>
      <c r="N33" s="162"/>
      <c r="O33" s="199"/>
      <c r="P33" s="32"/>
      <c r="Q33" s="32"/>
      <c r="R33" s="32"/>
      <c r="S33" s="33"/>
      <c r="T33" s="32"/>
      <c r="U33" s="32"/>
      <c r="V33" s="33"/>
      <c r="W33" s="162"/>
      <c r="X33" s="162"/>
      <c r="Y33" s="162"/>
      <c r="Z33" s="162"/>
      <c r="AA33" s="162"/>
      <c r="AB33" s="162"/>
      <c r="AC33" s="108"/>
      <c r="AD33" s="32"/>
      <c r="AE33" s="32"/>
      <c r="AF33" s="32"/>
      <c r="AG33" s="33"/>
      <c r="AH33" s="32"/>
      <c r="AI33" s="32"/>
      <c r="AJ33" s="32"/>
      <c r="AK33" s="162"/>
      <c r="AL33" s="23"/>
      <c r="AM33" s="219"/>
      <c r="AN33" s="219"/>
      <c r="AO33" s="219"/>
      <c r="AP33" s="219"/>
      <c r="AQ33" s="200"/>
      <c r="AR33" s="32"/>
      <c r="AS33" s="32"/>
      <c r="AT33" s="32"/>
      <c r="AU33" s="32"/>
      <c r="AV33" s="31"/>
      <c r="AW33" s="31"/>
      <c r="AX33" s="31"/>
      <c r="AY33" s="31"/>
      <c r="AZ33" s="31"/>
      <c r="BA33" s="31"/>
      <c r="BB33" s="201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34"/>
      <c r="BN33" s="32"/>
      <c r="BO33" s="32"/>
      <c r="BP33" s="32"/>
      <c r="BQ33" s="32"/>
      <c r="BR33" s="42"/>
      <c r="BS33" s="23"/>
      <c r="BT33" s="219"/>
      <c r="BU33" s="219"/>
      <c r="BV33" s="219"/>
      <c r="BW33" s="219"/>
      <c r="BX33" s="200"/>
    </row>
    <row r="34" spans="1:79" x14ac:dyDescent="0.35">
      <c r="A34" s="122" t="s">
        <v>152</v>
      </c>
      <c r="C34" s="23" t="s">
        <v>363</v>
      </c>
      <c r="D34" s="104" t="s">
        <v>30</v>
      </c>
      <c r="E34" s="36" t="s">
        <v>50</v>
      </c>
      <c r="F34" s="23" t="s">
        <v>50</v>
      </c>
      <c r="G34" s="23" t="s">
        <v>106</v>
      </c>
      <c r="H34" s="112" t="s">
        <v>106</v>
      </c>
      <c r="I34" s="112" t="s">
        <v>106</v>
      </c>
      <c r="J34" s="112" t="s">
        <v>106</v>
      </c>
      <c r="K34" s="112" t="s">
        <v>106</v>
      </c>
      <c r="L34" s="112" t="s">
        <v>106</v>
      </c>
      <c r="M34" s="114" t="s">
        <v>127</v>
      </c>
      <c r="N34" s="114" t="s">
        <v>127</v>
      </c>
      <c r="O34" s="267" t="s">
        <v>127</v>
      </c>
      <c r="P34" s="23">
        <v>44</v>
      </c>
      <c r="Q34" s="23" t="s">
        <v>50</v>
      </c>
      <c r="R34" s="23">
        <v>150</v>
      </c>
      <c r="S34" s="115">
        <v>130</v>
      </c>
      <c r="T34" s="113">
        <v>280</v>
      </c>
      <c r="U34" s="113">
        <v>280</v>
      </c>
      <c r="V34" s="115" t="s">
        <v>106</v>
      </c>
      <c r="W34" s="112" t="s">
        <v>106</v>
      </c>
      <c r="X34" s="112" t="s">
        <v>106</v>
      </c>
      <c r="Y34" s="112" t="s">
        <v>106</v>
      </c>
      <c r="Z34" s="112" t="s">
        <v>106</v>
      </c>
      <c r="AA34" s="113">
        <v>280</v>
      </c>
      <c r="AB34" s="113">
        <v>460</v>
      </c>
      <c r="AC34" s="114" t="s">
        <v>127</v>
      </c>
      <c r="AD34" s="23">
        <v>160</v>
      </c>
      <c r="AE34" s="23">
        <v>210</v>
      </c>
      <c r="AF34" s="23">
        <v>680</v>
      </c>
      <c r="AG34" s="115">
        <v>110</v>
      </c>
      <c r="AH34" s="112">
        <v>160</v>
      </c>
      <c r="AI34" s="113">
        <v>530</v>
      </c>
      <c r="AJ34" s="112">
        <v>44</v>
      </c>
      <c r="AK34" s="112">
        <v>39</v>
      </c>
      <c r="AL34" s="112" t="s">
        <v>106</v>
      </c>
      <c r="AM34" s="112">
        <v>110</v>
      </c>
      <c r="AN34" s="112">
        <v>51</v>
      </c>
      <c r="AO34" s="112" t="s">
        <v>127</v>
      </c>
      <c r="AP34" s="113">
        <v>480</v>
      </c>
      <c r="AQ34" s="114">
        <v>180</v>
      </c>
      <c r="AR34" s="112">
        <v>100</v>
      </c>
      <c r="AS34" s="112">
        <v>130</v>
      </c>
      <c r="AT34" s="112">
        <v>190</v>
      </c>
      <c r="AU34" s="112">
        <v>43</v>
      </c>
      <c r="AV34" s="112">
        <v>37</v>
      </c>
      <c r="AW34" s="112">
        <v>60</v>
      </c>
      <c r="AX34" s="112">
        <v>90</v>
      </c>
      <c r="AY34" s="112" t="s">
        <v>106</v>
      </c>
      <c r="AZ34" s="112" t="s">
        <v>127</v>
      </c>
      <c r="BA34" s="112" t="s">
        <v>127</v>
      </c>
      <c r="BB34" s="114" t="s">
        <v>127</v>
      </c>
      <c r="BC34" s="112">
        <v>99</v>
      </c>
      <c r="BD34" s="112">
        <v>120</v>
      </c>
      <c r="BE34" s="112">
        <v>93</v>
      </c>
      <c r="BF34" s="112">
        <v>49</v>
      </c>
      <c r="BG34" s="112">
        <v>32</v>
      </c>
      <c r="BH34" s="112">
        <v>86</v>
      </c>
      <c r="BI34" s="112">
        <v>40</v>
      </c>
      <c r="BJ34" s="112" t="s">
        <v>106</v>
      </c>
      <c r="BK34" s="112">
        <v>95</v>
      </c>
      <c r="BL34" s="112">
        <v>84</v>
      </c>
      <c r="BM34" s="114" t="s">
        <v>127</v>
      </c>
      <c r="BN34" s="112" t="s">
        <v>50</v>
      </c>
      <c r="BO34" s="112">
        <v>61</v>
      </c>
      <c r="BP34" s="112">
        <v>35</v>
      </c>
      <c r="BQ34" s="112" t="s">
        <v>106</v>
      </c>
      <c r="BR34" s="112" t="s">
        <v>106</v>
      </c>
      <c r="BS34" s="112" t="s">
        <v>106</v>
      </c>
      <c r="BT34" s="112" t="s">
        <v>106</v>
      </c>
      <c r="BU34" s="112" t="s">
        <v>106</v>
      </c>
      <c r="BV34" s="112" t="s">
        <v>127</v>
      </c>
      <c r="BW34" s="112" t="s">
        <v>127</v>
      </c>
      <c r="BX34" s="114" t="s">
        <v>127</v>
      </c>
    </row>
    <row r="35" spans="1:79" x14ac:dyDescent="0.35">
      <c r="A35" s="8"/>
      <c r="D35" s="104"/>
      <c r="E35" s="36"/>
      <c r="F35" s="23"/>
      <c r="G35" s="23"/>
      <c r="H35" s="23"/>
      <c r="I35" s="23"/>
      <c r="J35" s="23"/>
      <c r="K35" s="23"/>
      <c r="L35" s="23"/>
      <c r="M35" s="23"/>
      <c r="N35" s="23"/>
      <c r="O35" s="160"/>
      <c r="P35" s="23"/>
      <c r="Q35" s="23"/>
      <c r="R35" s="23"/>
      <c r="S35" s="36"/>
      <c r="T35" s="23"/>
      <c r="U35" s="23"/>
      <c r="V35" s="36"/>
      <c r="W35" s="23"/>
      <c r="X35" s="23"/>
      <c r="Y35" s="23"/>
      <c r="Z35" s="23"/>
      <c r="AA35" s="23"/>
      <c r="AB35" s="23"/>
      <c r="AC35" s="160"/>
      <c r="AD35" s="23"/>
      <c r="AE35" s="23"/>
      <c r="AF35" s="23"/>
      <c r="AG35" s="36"/>
      <c r="AH35" s="23"/>
      <c r="AI35" s="23"/>
      <c r="AJ35" s="23"/>
      <c r="AK35" s="111"/>
      <c r="AL35" s="111"/>
      <c r="AM35" s="23"/>
      <c r="AN35" s="23"/>
      <c r="AO35" s="111"/>
      <c r="AP35" s="23"/>
      <c r="AQ35" s="160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108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108"/>
      <c r="BN35" s="23"/>
      <c r="BO35" s="23"/>
      <c r="BP35" s="23"/>
      <c r="BQ35" s="23"/>
      <c r="BR35" s="111"/>
      <c r="BS35" s="111"/>
      <c r="BT35" s="111"/>
      <c r="BU35" s="111"/>
      <c r="BV35" s="111"/>
      <c r="BW35" s="111"/>
      <c r="BX35" s="160"/>
    </row>
    <row r="36" spans="1:79" x14ac:dyDescent="0.35">
      <c r="A36" s="12" t="s">
        <v>51</v>
      </c>
      <c r="B36" s="32"/>
      <c r="C36" s="32"/>
      <c r="D36" s="107"/>
      <c r="E36" s="109"/>
      <c r="F36" s="31"/>
      <c r="G36" s="31"/>
      <c r="H36" s="31"/>
      <c r="I36" s="162"/>
      <c r="J36" s="162"/>
      <c r="K36" s="162"/>
      <c r="L36" s="162"/>
      <c r="M36" s="162"/>
      <c r="N36" s="162"/>
      <c r="O36" s="199"/>
      <c r="P36" s="31"/>
      <c r="Q36" s="31"/>
      <c r="R36" s="31"/>
      <c r="S36" s="109"/>
      <c r="T36" s="31"/>
      <c r="U36" s="31"/>
      <c r="V36" s="109"/>
      <c r="W36" s="162"/>
      <c r="X36" s="31"/>
      <c r="Y36" s="162"/>
      <c r="Z36" s="162"/>
      <c r="AA36" s="162"/>
      <c r="AB36" s="162"/>
      <c r="AC36" s="199"/>
      <c r="AD36" s="31"/>
      <c r="AE36" s="31"/>
      <c r="AF36" s="31"/>
      <c r="AG36" s="109"/>
      <c r="AH36" s="31"/>
      <c r="AI36" s="31"/>
      <c r="AJ36" s="31"/>
      <c r="AK36" s="23"/>
      <c r="AL36" s="23"/>
      <c r="AM36" s="162"/>
      <c r="AN36" s="162"/>
      <c r="AO36" s="162"/>
      <c r="AP36" s="162"/>
      <c r="AQ36" s="199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20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201"/>
      <c r="BN36" s="31"/>
      <c r="BO36" s="31"/>
      <c r="BP36" s="31"/>
      <c r="BQ36" s="31"/>
      <c r="BR36" s="42"/>
      <c r="BS36" s="23"/>
      <c r="BT36" s="23"/>
      <c r="BU36" s="23"/>
      <c r="BV36" s="23"/>
      <c r="BW36" s="23"/>
      <c r="BX36" s="108"/>
    </row>
    <row r="37" spans="1:79" x14ac:dyDescent="0.35">
      <c r="A37" s="122" t="s">
        <v>52</v>
      </c>
      <c r="B37" s="24">
        <v>50</v>
      </c>
      <c r="C37" s="24">
        <v>10</v>
      </c>
      <c r="D37" s="104" t="s">
        <v>30</v>
      </c>
      <c r="E37" s="36" t="s">
        <v>53</v>
      </c>
      <c r="F37" s="23" t="s">
        <v>53</v>
      </c>
      <c r="G37" s="23" t="s">
        <v>126</v>
      </c>
      <c r="H37" s="112" t="s">
        <v>126</v>
      </c>
      <c r="I37" s="112" t="s">
        <v>126</v>
      </c>
      <c r="J37" s="112" t="s">
        <v>126</v>
      </c>
      <c r="K37" s="112" t="s">
        <v>126</v>
      </c>
      <c r="L37" s="112" t="s">
        <v>126</v>
      </c>
      <c r="M37" s="112">
        <v>4.5</v>
      </c>
      <c r="N37" s="112">
        <v>3.8</v>
      </c>
      <c r="O37" s="114">
        <v>0.2</v>
      </c>
      <c r="P37" s="23">
        <v>22</v>
      </c>
      <c r="Q37" s="23" t="s">
        <v>53</v>
      </c>
      <c r="R37" s="39">
        <v>77</v>
      </c>
      <c r="S37" s="117">
        <v>86</v>
      </c>
      <c r="T37" s="113">
        <v>180</v>
      </c>
      <c r="U37" s="113">
        <v>170</v>
      </c>
      <c r="V37" s="117">
        <v>11</v>
      </c>
      <c r="W37" s="112">
        <v>7.6</v>
      </c>
      <c r="X37" s="112" t="s">
        <v>126</v>
      </c>
      <c r="Y37" s="112" t="s">
        <v>126</v>
      </c>
      <c r="Z37" s="112">
        <v>4</v>
      </c>
      <c r="AA37" s="113">
        <v>190</v>
      </c>
      <c r="AB37" s="113">
        <v>320</v>
      </c>
      <c r="AC37" s="114">
        <v>0.2</v>
      </c>
      <c r="AD37" s="23">
        <v>98</v>
      </c>
      <c r="AE37" s="23">
        <v>140</v>
      </c>
      <c r="AF37" s="23">
        <v>440</v>
      </c>
      <c r="AG37" s="117">
        <v>76</v>
      </c>
      <c r="AH37" s="113">
        <v>100</v>
      </c>
      <c r="AI37" s="113">
        <v>320</v>
      </c>
      <c r="AJ37" s="113">
        <v>39</v>
      </c>
      <c r="AK37" s="113">
        <v>33</v>
      </c>
      <c r="AL37" s="112">
        <v>3.9</v>
      </c>
      <c r="AM37" s="113">
        <v>76</v>
      </c>
      <c r="AN37" s="113">
        <v>33</v>
      </c>
      <c r="AO37" s="276">
        <v>35</v>
      </c>
      <c r="AP37" s="113">
        <v>330</v>
      </c>
      <c r="AQ37" s="277">
        <v>120</v>
      </c>
      <c r="AR37" s="113">
        <v>67</v>
      </c>
      <c r="AS37" s="113">
        <v>83</v>
      </c>
      <c r="AT37" s="113">
        <v>92</v>
      </c>
      <c r="AU37" s="113">
        <v>38</v>
      </c>
      <c r="AV37" s="113">
        <v>31</v>
      </c>
      <c r="AW37" s="113">
        <v>53</v>
      </c>
      <c r="AX37" s="113">
        <v>62</v>
      </c>
      <c r="AY37" s="113">
        <v>20</v>
      </c>
      <c r="AZ37" s="113">
        <v>43</v>
      </c>
      <c r="BA37" s="113">
        <v>33</v>
      </c>
      <c r="BB37" s="165">
        <v>27</v>
      </c>
      <c r="BC37" s="113">
        <v>65</v>
      </c>
      <c r="BD37" s="113">
        <v>75</v>
      </c>
      <c r="BE37" s="112">
        <v>35</v>
      </c>
      <c r="BF37" s="113">
        <v>41</v>
      </c>
      <c r="BG37" s="113">
        <v>27</v>
      </c>
      <c r="BH37" s="113">
        <v>55</v>
      </c>
      <c r="BI37" s="113">
        <v>35</v>
      </c>
      <c r="BJ37" s="113">
        <v>19</v>
      </c>
      <c r="BK37" s="113">
        <v>28</v>
      </c>
      <c r="BL37" s="113">
        <v>48</v>
      </c>
      <c r="BM37" s="165">
        <v>18</v>
      </c>
      <c r="BN37" s="112">
        <v>4.7</v>
      </c>
      <c r="BO37" s="112">
        <v>35</v>
      </c>
      <c r="BP37" s="112">
        <v>24</v>
      </c>
      <c r="BQ37" s="113">
        <v>12</v>
      </c>
      <c r="BR37" s="113">
        <v>10</v>
      </c>
      <c r="BS37" s="112">
        <v>8.6</v>
      </c>
      <c r="BT37" s="112" t="s">
        <v>442</v>
      </c>
      <c r="BU37" s="112">
        <v>9.4</v>
      </c>
      <c r="BV37" s="112">
        <v>9.8000000000000007</v>
      </c>
      <c r="BW37" s="112">
        <v>2.5</v>
      </c>
      <c r="BX37" s="114">
        <v>0.44</v>
      </c>
      <c r="BZ37" s="222"/>
      <c r="CA37" s="121"/>
    </row>
    <row r="38" spans="1:79" x14ac:dyDescent="0.35">
      <c r="A38" s="8" t="s">
        <v>54</v>
      </c>
      <c r="B38" s="24">
        <v>220</v>
      </c>
      <c r="C38" s="24">
        <v>65</v>
      </c>
      <c r="D38" s="104" t="s">
        <v>30</v>
      </c>
      <c r="E38" s="36" t="s">
        <v>55</v>
      </c>
      <c r="F38" s="23" t="s">
        <v>55</v>
      </c>
      <c r="G38" s="23" t="s">
        <v>126</v>
      </c>
      <c r="H38" s="112" t="s">
        <v>126</v>
      </c>
      <c r="I38" s="112" t="s">
        <v>126</v>
      </c>
      <c r="J38" s="112" t="s">
        <v>126</v>
      </c>
      <c r="K38" s="112" t="s">
        <v>126</v>
      </c>
      <c r="L38" s="112" t="s">
        <v>126</v>
      </c>
      <c r="M38" s="112" t="s">
        <v>453</v>
      </c>
      <c r="N38" s="112" t="s">
        <v>442</v>
      </c>
      <c r="O38" s="114">
        <v>0.2</v>
      </c>
      <c r="P38" s="23">
        <v>2.2999999999999998</v>
      </c>
      <c r="Q38" s="23">
        <v>1</v>
      </c>
      <c r="R38" s="23">
        <v>6.2</v>
      </c>
      <c r="S38" s="115">
        <v>3.7</v>
      </c>
      <c r="T38" s="112">
        <v>6.1</v>
      </c>
      <c r="U38" s="112">
        <v>10</v>
      </c>
      <c r="V38" s="115">
        <v>0.49</v>
      </c>
      <c r="W38" s="112">
        <v>0.27</v>
      </c>
      <c r="X38" s="112" t="s">
        <v>126</v>
      </c>
      <c r="Y38" s="112" t="s">
        <v>126</v>
      </c>
      <c r="Z38" s="112">
        <v>0.22</v>
      </c>
      <c r="AA38" s="112">
        <v>5.9</v>
      </c>
      <c r="AB38" s="112">
        <v>9.3000000000000007</v>
      </c>
      <c r="AC38" s="114">
        <v>0.2</v>
      </c>
      <c r="AD38" s="23">
        <v>6.2</v>
      </c>
      <c r="AE38" s="23">
        <v>6.9</v>
      </c>
      <c r="AF38" s="23">
        <v>19</v>
      </c>
      <c r="AG38" s="115">
        <v>5.0999999999999996</v>
      </c>
      <c r="AH38" s="112">
        <v>7</v>
      </c>
      <c r="AI38" s="112">
        <v>21</v>
      </c>
      <c r="AJ38" s="112">
        <v>2</v>
      </c>
      <c r="AK38" s="112">
        <v>1.7</v>
      </c>
      <c r="AL38" s="112">
        <v>0.53</v>
      </c>
      <c r="AM38" s="112">
        <v>5.4</v>
      </c>
      <c r="AN38" s="112">
        <v>1.7</v>
      </c>
      <c r="AO38" s="112">
        <v>4.2</v>
      </c>
      <c r="AP38" s="112">
        <v>9.6</v>
      </c>
      <c r="AQ38" s="114">
        <v>4.4000000000000004</v>
      </c>
      <c r="AR38" s="112">
        <v>4.5</v>
      </c>
      <c r="AS38" s="112">
        <v>5.9</v>
      </c>
      <c r="AT38" s="112">
        <v>12</v>
      </c>
      <c r="AU38" s="112">
        <v>2.2000000000000002</v>
      </c>
      <c r="AV38" s="112">
        <v>1.7</v>
      </c>
      <c r="AW38" s="112">
        <v>3.7</v>
      </c>
      <c r="AX38" s="112">
        <v>4.8</v>
      </c>
      <c r="AY38" s="112">
        <v>1.4</v>
      </c>
      <c r="AZ38" s="112">
        <v>2.9</v>
      </c>
      <c r="BA38" s="112">
        <v>1.9</v>
      </c>
      <c r="BB38" s="114">
        <v>1.8</v>
      </c>
      <c r="BC38" s="112">
        <v>4.4000000000000004</v>
      </c>
      <c r="BD38" s="112">
        <v>5.4</v>
      </c>
      <c r="BE38" s="112">
        <v>5.9</v>
      </c>
      <c r="BF38" s="112">
        <v>2.5</v>
      </c>
      <c r="BG38" s="112">
        <v>1.6</v>
      </c>
      <c r="BH38" s="112">
        <v>4.5999999999999996</v>
      </c>
      <c r="BI38" s="112">
        <v>3.1</v>
      </c>
      <c r="BJ38" s="112">
        <v>1.5</v>
      </c>
      <c r="BK38" s="112">
        <v>3.3</v>
      </c>
      <c r="BL38" s="112">
        <v>3.5</v>
      </c>
      <c r="BM38" s="114">
        <v>1.3</v>
      </c>
      <c r="BN38" s="112">
        <v>0.5</v>
      </c>
      <c r="BO38" s="112">
        <v>3.2</v>
      </c>
      <c r="BP38" s="112">
        <v>1.6</v>
      </c>
      <c r="BQ38" s="112">
        <v>0.98</v>
      </c>
      <c r="BR38" s="112">
        <v>0.96</v>
      </c>
      <c r="BS38" s="112">
        <v>1.3</v>
      </c>
      <c r="BT38" s="112" t="s">
        <v>442</v>
      </c>
      <c r="BU38" s="112">
        <v>0.87</v>
      </c>
      <c r="BV38" s="112">
        <v>0.64</v>
      </c>
      <c r="BW38" s="112" t="s">
        <v>442</v>
      </c>
      <c r="BX38" s="114">
        <v>0.2</v>
      </c>
      <c r="CA38" s="121"/>
    </row>
    <row r="39" spans="1:79" x14ac:dyDescent="0.35">
      <c r="A39" s="8" t="s">
        <v>56</v>
      </c>
      <c r="B39" s="24">
        <v>550</v>
      </c>
      <c r="C39" s="24">
        <v>74</v>
      </c>
      <c r="D39" s="104" t="s">
        <v>30</v>
      </c>
      <c r="E39" s="36" t="s">
        <v>55</v>
      </c>
      <c r="F39" s="23" t="s">
        <v>55</v>
      </c>
      <c r="G39" s="23" t="s">
        <v>126</v>
      </c>
      <c r="H39" s="112" t="s">
        <v>126</v>
      </c>
      <c r="I39" s="112" t="s">
        <v>126</v>
      </c>
      <c r="J39" s="112" t="s">
        <v>126</v>
      </c>
      <c r="K39" s="112" t="s">
        <v>126</v>
      </c>
      <c r="L39" s="112" t="s">
        <v>126</v>
      </c>
      <c r="M39" s="112">
        <v>1.9</v>
      </c>
      <c r="N39" s="112">
        <v>1.6</v>
      </c>
      <c r="O39" s="114">
        <v>0.2</v>
      </c>
      <c r="P39" s="23">
        <v>7.5</v>
      </c>
      <c r="Q39" s="23" t="s">
        <v>55</v>
      </c>
      <c r="R39" s="23">
        <v>27</v>
      </c>
      <c r="S39" s="115">
        <v>19</v>
      </c>
      <c r="T39" s="112">
        <v>56</v>
      </c>
      <c r="U39" s="112">
        <v>40</v>
      </c>
      <c r="V39" s="115">
        <v>2.1</v>
      </c>
      <c r="W39" s="112">
        <v>1.9</v>
      </c>
      <c r="X39" s="112" t="s">
        <v>126</v>
      </c>
      <c r="Y39" s="112" t="s">
        <v>126</v>
      </c>
      <c r="Z39" s="112">
        <v>6.3</v>
      </c>
      <c r="AA39" s="112">
        <v>57</v>
      </c>
      <c r="AB39" s="112">
        <v>87</v>
      </c>
      <c r="AC39" s="114">
        <v>0.2</v>
      </c>
      <c r="AD39" s="23">
        <v>24</v>
      </c>
      <c r="AE39" s="23">
        <v>30</v>
      </c>
      <c r="AF39" s="23">
        <v>110</v>
      </c>
      <c r="AG39" s="115">
        <v>11</v>
      </c>
      <c r="AH39" s="112">
        <v>20</v>
      </c>
      <c r="AI39" s="112">
        <v>80</v>
      </c>
      <c r="AJ39" s="112">
        <v>5.7</v>
      </c>
      <c r="AK39" s="112">
        <v>5.6</v>
      </c>
      <c r="AL39" s="112">
        <v>2</v>
      </c>
      <c r="AM39" s="112">
        <v>13</v>
      </c>
      <c r="AN39" s="112">
        <v>6.3</v>
      </c>
      <c r="AO39" s="112">
        <v>11</v>
      </c>
      <c r="AP39" s="113">
        <v>92</v>
      </c>
      <c r="AQ39" s="114">
        <v>31</v>
      </c>
      <c r="AR39" s="112">
        <v>11</v>
      </c>
      <c r="AS39" s="112">
        <v>16</v>
      </c>
      <c r="AT39" s="112">
        <v>31</v>
      </c>
      <c r="AU39" s="112">
        <v>5.5</v>
      </c>
      <c r="AV39" s="112">
        <v>5.3</v>
      </c>
      <c r="AW39" s="112">
        <v>7.2</v>
      </c>
      <c r="AX39" s="112">
        <v>9.8000000000000007</v>
      </c>
      <c r="AY39" s="112">
        <v>3.7</v>
      </c>
      <c r="AZ39" s="112">
        <v>6.2</v>
      </c>
      <c r="BA39" s="112">
        <v>6.3</v>
      </c>
      <c r="BB39" s="114">
        <v>4.4000000000000004</v>
      </c>
      <c r="BC39" s="112">
        <v>10</v>
      </c>
      <c r="BD39" s="112">
        <v>16</v>
      </c>
      <c r="BE39" s="112">
        <v>16</v>
      </c>
      <c r="BF39" s="112">
        <v>5.7</v>
      </c>
      <c r="BG39" s="112">
        <v>4.5999999999999996</v>
      </c>
      <c r="BH39" s="112">
        <v>11</v>
      </c>
      <c r="BI39" s="112">
        <v>5.8</v>
      </c>
      <c r="BJ39" s="112">
        <v>3.6</v>
      </c>
      <c r="BK39" s="112">
        <v>7.8</v>
      </c>
      <c r="BL39" s="112">
        <v>6.7</v>
      </c>
      <c r="BM39" s="114">
        <v>3</v>
      </c>
      <c r="BN39" s="112">
        <v>1</v>
      </c>
      <c r="BO39" s="112">
        <v>8.1999999999999993</v>
      </c>
      <c r="BP39" s="112">
        <v>11</v>
      </c>
      <c r="BQ39" s="112">
        <v>2.1</v>
      </c>
      <c r="BR39" s="112">
        <v>2.1</v>
      </c>
      <c r="BS39" s="112">
        <v>1.8</v>
      </c>
      <c r="BT39" s="112" t="s">
        <v>442</v>
      </c>
      <c r="BU39" s="112">
        <v>2</v>
      </c>
      <c r="BV39" s="112">
        <v>2.8</v>
      </c>
      <c r="BW39" s="112">
        <v>1</v>
      </c>
      <c r="BX39" s="114">
        <v>0.38</v>
      </c>
      <c r="CA39" s="121"/>
    </row>
    <row r="40" spans="1:79" x14ac:dyDescent="0.35">
      <c r="A40" s="8" t="s">
        <v>57</v>
      </c>
      <c r="B40" s="24">
        <v>244</v>
      </c>
      <c r="C40" s="24">
        <v>17</v>
      </c>
      <c r="D40" s="104" t="s">
        <v>30</v>
      </c>
      <c r="E40" s="36">
        <v>0</v>
      </c>
      <c r="F40" s="23">
        <v>0</v>
      </c>
      <c r="G40" s="23" t="s">
        <v>346</v>
      </c>
      <c r="H40" s="112" t="s">
        <v>348</v>
      </c>
      <c r="I40" s="112" t="s">
        <v>348</v>
      </c>
      <c r="J40" s="112" t="s">
        <v>348</v>
      </c>
      <c r="K40" s="112" t="s">
        <v>348</v>
      </c>
      <c r="L40" s="112" t="s">
        <v>348</v>
      </c>
      <c r="M40" s="112" t="s">
        <v>452</v>
      </c>
      <c r="N40" s="112" t="s">
        <v>346</v>
      </c>
      <c r="O40" s="114">
        <v>0.4</v>
      </c>
      <c r="P40" s="23">
        <v>7.1</v>
      </c>
      <c r="Q40" s="23">
        <v>1.7</v>
      </c>
      <c r="R40" s="23">
        <v>19</v>
      </c>
      <c r="S40" s="115">
        <v>15</v>
      </c>
      <c r="T40" s="112">
        <v>27</v>
      </c>
      <c r="U40" s="112">
        <v>34</v>
      </c>
      <c r="V40" s="115">
        <v>1.4</v>
      </c>
      <c r="W40" s="112">
        <v>0.77</v>
      </c>
      <c r="X40" s="112" t="s">
        <v>348</v>
      </c>
      <c r="Y40" s="112" t="s">
        <v>348</v>
      </c>
      <c r="Z40" s="112" t="s">
        <v>348</v>
      </c>
      <c r="AA40" s="112">
        <v>22</v>
      </c>
      <c r="AB40" s="112">
        <v>35</v>
      </c>
      <c r="AC40" s="114">
        <v>0.4</v>
      </c>
      <c r="AD40" s="23">
        <v>20</v>
      </c>
      <c r="AE40" s="23">
        <v>23</v>
      </c>
      <c r="AF40" s="39">
        <v>73</v>
      </c>
      <c r="AG40" s="115">
        <v>15</v>
      </c>
      <c r="AH40" s="112">
        <v>21</v>
      </c>
      <c r="AI40" s="118">
        <v>69</v>
      </c>
      <c r="AJ40" s="112">
        <v>5.2</v>
      </c>
      <c r="AK40" s="112">
        <v>4.0999999999999996</v>
      </c>
      <c r="AL40" s="112">
        <v>1.5</v>
      </c>
      <c r="AM40" s="112">
        <v>12</v>
      </c>
      <c r="AN40" s="112">
        <v>4</v>
      </c>
      <c r="AO40" s="112">
        <v>11</v>
      </c>
      <c r="AP40" s="113">
        <v>37</v>
      </c>
      <c r="AQ40" s="114">
        <v>14</v>
      </c>
      <c r="AR40" s="112">
        <v>13</v>
      </c>
      <c r="AS40" s="112">
        <v>17</v>
      </c>
      <c r="AT40" s="112">
        <v>35</v>
      </c>
      <c r="AU40" s="112">
        <v>5.0999999999999996</v>
      </c>
      <c r="AV40" s="112">
        <v>3.8</v>
      </c>
      <c r="AW40" s="112">
        <v>11</v>
      </c>
      <c r="AX40" s="112">
        <v>9.4</v>
      </c>
      <c r="AY40" s="112">
        <v>2.8</v>
      </c>
      <c r="AZ40" s="112">
        <v>5.5</v>
      </c>
      <c r="BA40" s="112">
        <v>3.9</v>
      </c>
      <c r="BB40" s="114">
        <v>3.1</v>
      </c>
      <c r="BC40" s="112">
        <v>13</v>
      </c>
      <c r="BD40" s="112">
        <v>16</v>
      </c>
      <c r="BE40" s="112">
        <v>17</v>
      </c>
      <c r="BF40" s="112">
        <v>5.7</v>
      </c>
      <c r="BG40" s="112">
        <v>3.6</v>
      </c>
      <c r="BH40" s="112">
        <v>12</v>
      </c>
      <c r="BI40" s="112">
        <v>6.1</v>
      </c>
      <c r="BJ40" s="112">
        <v>2.9</v>
      </c>
      <c r="BK40" s="112">
        <v>8.6</v>
      </c>
      <c r="BL40" s="112">
        <v>5.7</v>
      </c>
      <c r="BM40" s="114">
        <v>2.2000000000000002</v>
      </c>
      <c r="BN40" s="112">
        <v>1.2</v>
      </c>
      <c r="BO40" s="112">
        <v>9.3000000000000007</v>
      </c>
      <c r="BP40" s="112">
        <v>6.4</v>
      </c>
      <c r="BQ40" s="112">
        <v>2.1</v>
      </c>
      <c r="BR40" s="112">
        <v>2.1</v>
      </c>
      <c r="BS40" s="112">
        <v>3.2</v>
      </c>
      <c r="BT40" s="112" t="s">
        <v>346</v>
      </c>
      <c r="BU40" s="112">
        <v>1.7</v>
      </c>
      <c r="BV40" s="112">
        <v>1.6</v>
      </c>
      <c r="BW40" s="112" t="s">
        <v>346</v>
      </c>
      <c r="BX40" s="114">
        <v>0.4</v>
      </c>
      <c r="BZ40" s="222"/>
      <c r="CA40" s="121"/>
    </row>
    <row r="41" spans="1:79" x14ac:dyDescent="0.35">
      <c r="A41" s="8" t="s">
        <v>58</v>
      </c>
      <c r="D41" s="104" t="s">
        <v>30</v>
      </c>
      <c r="E41" s="36" t="s">
        <v>53</v>
      </c>
      <c r="F41" s="23" t="s">
        <v>53</v>
      </c>
      <c r="G41" s="23" t="s">
        <v>126</v>
      </c>
      <c r="H41" s="23" t="s">
        <v>126</v>
      </c>
      <c r="I41" s="23" t="s">
        <v>126</v>
      </c>
      <c r="J41" s="23" t="s">
        <v>126</v>
      </c>
      <c r="K41" s="23" t="s">
        <v>126</v>
      </c>
      <c r="L41" s="23" t="s">
        <v>126</v>
      </c>
      <c r="M41" s="23">
        <v>0.34</v>
      </c>
      <c r="N41" s="23">
        <v>0.37</v>
      </c>
      <c r="O41" s="108">
        <v>0.2</v>
      </c>
      <c r="P41" s="23">
        <v>5.4</v>
      </c>
      <c r="Q41" s="23">
        <v>1.1000000000000001</v>
      </c>
      <c r="R41" s="23">
        <v>14</v>
      </c>
      <c r="S41" s="36">
        <v>12</v>
      </c>
      <c r="T41" s="23">
        <v>21</v>
      </c>
      <c r="U41" s="23">
        <v>25</v>
      </c>
      <c r="V41" s="36">
        <v>1</v>
      </c>
      <c r="W41" s="23">
        <v>0.55000000000000004</v>
      </c>
      <c r="X41" s="23" t="s">
        <v>126</v>
      </c>
      <c r="Y41" s="23" t="s">
        <v>126</v>
      </c>
      <c r="Z41" s="23">
        <v>0.3</v>
      </c>
      <c r="AA41" s="23">
        <v>17</v>
      </c>
      <c r="AB41" s="23">
        <v>25</v>
      </c>
      <c r="AC41" s="108">
        <v>0.2</v>
      </c>
      <c r="AD41" s="23">
        <v>15</v>
      </c>
      <c r="AE41" s="23">
        <v>18</v>
      </c>
      <c r="AF41" s="23">
        <v>55</v>
      </c>
      <c r="AG41" s="36">
        <v>11</v>
      </c>
      <c r="AH41" s="23">
        <v>16</v>
      </c>
      <c r="AI41" s="23">
        <v>51</v>
      </c>
      <c r="AJ41" s="23">
        <v>3.7</v>
      </c>
      <c r="AK41" s="23">
        <v>3</v>
      </c>
      <c r="AL41" s="23">
        <v>1</v>
      </c>
      <c r="AM41" s="23">
        <v>8.1</v>
      </c>
      <c r="AN41" s="23">
        <v>2.8</v>
      </c>
      <c r="AO41" s="23">
        <v>7.7</v>
      </c>
      <c r="AP41" s="23">
        <v>26</v>
      </c>
      <c r="AQ41" s="108">
        <v>9.6999999999999993</v>
      </c>
      <c r="AR41" s="23">
        <v>10</v>
      </c>
      <c r="AS41" s="23">
        <v>13</v>
      </c>
      <c r="AT41" s="23">
        <v>25</v>
      </c>
      <c r="AU41" s="23">
        <v>3.6</v>
      </c>
      <c r="AV41" s="23">
        <v>2.8</v>
      </c>
      <c r="AW41" s="23">
        <v>8</v>
      </c>
      <c r="AX41" s="23">
        <v>6.6</v>
      </c>
      <c r="AY41" s="23">
        <v>2</v>
      </c>
      <c r="AZ41" s="23">
        <v>3.6</v>
      </c>
      <c r="BA41" s="23">
        <v>2.6</v>
      </c>
      <c r="BB41" s="108">
        <v>2</v>
      </c>
      <c r="BC41" s="23">
        <v>9.8000000000000007</v>
      </c>
      <c r="BD41" s="23">
        <v>12</v>
      </c>
      <c r="BE41" s="23">
        <v>12</v>
      </c>
      <c r="BF41" s="23">
        <v>4.0999999999999996</v>
      </c>
      <c r="BG41" s="23">
        <v>2.6</v>
      </c>
      <c r="BH41" s="23">
        <v>8.5</v>
      </c>
      <c r="BI41" s="23">
        <v>4.2</v>
      </c>
      <c r="BJ41" s="23">
        <v>2</v>
      </c>
      <c r="BK41" s="23">
        <v>6.2</v>
      </c>
      <c r="BL41" s="23">
        <v>3.4</v>
      </c>
      <c r="BM41" s="108">
        <v>1.4</v>
      </c>
      <c r="BN41" s="23">
        <v>1.2</v>
      </c>
      <c r="BO41" s="23">
        <v>7</v>
      </c>
      <c r="BP41" s="23">
        <v>4.5</v>
      </c>
      <c r="BQ41" s="23">
        <v>1.4</v>
      </c>
      <c r="BR41" s="23">
        <v>1.5</v>
      </c>
      <c r="BS41" s="23">
        <v>2.2000000000000002</v>
      </c>
      <c r="BT41" s="23" t="s">
        <v>442</v>
      </c>
      <c r="BU41" s="23">
        <v>1.2</v>
      </c>
      <c r="BV41" s="23">
        <v>1.1000000000000001</v>
      </c>
      <c r="BW41" s="23">
        <v>0.28000000000000003</v>
      </c>
      <c r="BX41" s="108">
        <v>0.2</v>
      </c>
    </row>
    <row r="42" spans="1:79" x14ac:dyDescent="0.35">
      <c r="A42" s="8" t="s">
        <v>59</v>
      </c>
      <c r="D42" s="104" t="s">
        <v>30</v>
      </c>
      <c r="E42" s="36" t="s">
        <v>60</v>
      </c>
      <c r="F42" s="23" t="s">
        <v>60</v>
      </c>
      <c r="G42" s="23" t="s">
        <v>126</v>
      </c>
      <c r="H42" s="23" t="s">
        <v>126</v>
      </c>
      <c r="I42" s="23" t="s">
        <v>126</v>
      </c>
      <c r="J42" s="23" t="s">
        <v>126</v>
      </c>
      <c r="K42" s="23" t="s">
        <v>126</v>
      </c>
      <c r="L42" s="23" t="s">
        <v>126</v>
      </c>
      <c r="M42" s="23" t="s">
        <v>453</v>
      </c>
      <c r="N42" s="23" t="s">
        <v>442</v>
      </c>
      <c r="O42" s="108">
        <v>0.2</v>
      </c>
      <c r="P42" s="23">
        <v>1.7</v>
      </c>
      <c r="Q42" s="23">
        <v>0.62</v>
      </c>
      <c r="R42" s="23">
        <v>5.4</v>
      </c>
      <c r="S42" s="36">
        <v>3.3</v>
      </c>
      <c r="T42" s="23">
        <v>5.9</v>
      </c>
      <c r="U42" s="23">
        <v>8.9</v>
      </c>
      <c r="V42" s="36">
        <v>0.43</v>
      </c>
      <c r="W42" s="23">
        <v>0.22</v>
      </c>
      <c r="X42" s="23" t="s">
        <v>126</v>
      </c>
      <c r="Y42" s="23" t="s">
        <v>126</v>
      </c>
      <c r="Z42" s="23" t="s">
        <v>126</v>
      </c>
      <c r="AA42" s="23" t="s">
        <v>453</v>
      </c>
      <c r="AB42" s="23">
        <v>9.8000000000000007</v>
      </c>
      <c r="AC42" s="108">
        <v>0.2</v>
      </c>
      <c r="AD42" s="23">
        <v>4.8</v>
      </c>
      <c r="AE42" s="23">
        <v>5.4</v>
      </c>
      <c r="AF42" s="23">
        <v>18</v>
      </c>
      <c r="AG42" s="36">
        <v>3.5</v>
      </c>
      <c r="AH42" s="23">
        <v>5</v>
      </c>
      <c r="AI42" s="23">
        <v>18</v>
      </c>
      <c r="AJ42" s="23">
        <v>1.5</v>
      </c>
      <c r="AK42" s="23">
        <v>1.1000000000000001</v>
      </c>
      <c r="AL42" s="23">
        <v>0.5</v>
      </c>
      <c r="AM42" s="23">
        <v>3.5</v>
      </c>
      <c r="AN42" s="23">
        <v>1.2</v>
      </c>
      <c r="AO42" s="23">
        <v>3</v>
      </c>
      <c r="AP42" s="23">
        <v>10</v>
      </c>
      <c r="AQ42" s="108">
        <v>3.9</v>
      </c>
      <c r="AR42" s="23">
        <v>3.1</v>
      </c>
      <c r="AS42" s="23">
        <v>3.8</v>
      </c>
      <c r="AT42" s="23">
        <v>10</v>
      </c>
      <c r="AU42" s="23">
        <v>1.5</v>
      </c>
      <c r="AV42" s="23">
        <v>1</v>
      </c>
      <c r="AW42" s="23">
        <v>3.2</v>
      </c>
      <c r="AX42" s="23">
        <v>2.9</v>
      </c>
      <c r="AY42" s="23">
        <v>0.84</v>
      </c>
      <c r="AZ42" s="23">
        <v>1.8</v>
      </c>
      <c r="BA42" s="23">
        <v>1.3</v>
      </c>
      <c r="BB42" s="108">
        <v>1.2</v>
      </c>
      <c r="BC42" s="23">
        <v>3.1</v>
      </c>
      <c r="BD42" s="23">
        <v>3.9</v>
      </c>
      <c r="BE42" s="23">
        <v>4.9000000000000004</v>
      </c>
      <c r="BF42" s="23">
        <v>1.6</v>
      </c>
      <c r="BG42" s="23">
        <v>0.94</v>
      </c>
      <c r="BH42" s="23">
        <v>3.2</v>
      </c>
      <c r="BI42" s="23">
        <v>1.9</v>
      </c>
      <c r="BJ42" s="23">
        <v>0.88</v>
      </c>
      <c r="BK42" s="23">
        <v>2.4</v>
      </c>
      <c r="BL42" s="23">
        <v>2.2000000000000002</v>
      </c>
      <c r="BM42" s="108">
        <v>0.79</v>
      </c>
      <c r="BN42" s="23" t="s">
        <v>60</v>
      </c>
      <c r="BO42" s="23">
        <v>2.2999999999999998</v>
      </c>
      <c r="BP42" s="23">
        <v>1.6</v>
      </c>
      <c r="BQ42" s="23">
        <v>0.69</v>
      </c>
      <c r="BR42" s="23">
        <v>0.57999999999999996</v>
      </c>
      <c r="BS42" s="23">
        <v>0.93</v>
      </c>
      <c r="BT42" s="23" t="s">
        <v>442</v>
      </c>
      <c r="BU42" s="23">
        <v>0.54</v>
      </c>
      <c r="BV42" s="23">
        <v>0.55000000000000004</v>
      </c>
      <c r="BW42" s="23" t="s">
        <v>442</v>
      </c>
      <c r="BX42" s="108">
        <v>0.2</v>
      </c>
    </row>
    <row r="43" spans="1:79" x14ac:dyDescent="0.35">
      <c r="A43" s="8"/>
      <c r="D43" s="104"/>
      <c r="E43" s="36"/>
      <c r="F43" s="23"/>
      <c r="G43" s="23"/>
      <c r="H43" s="23"/>
      <c r="I43" s="23"/>
      <c r="J43" s="23"/>
      <c r="K43" s="23"/>
      <c r="L43" s="23"/>
      <c r="M43" s="23"/>
      <c r="N43" s="23"/>
      <c r="O43" s="108"/>
      <c r="P43" s="23"/>
      <c r="Q43" s="23"/>
      <c r="R43" s="23"/>
      <c r="S43" s="36"/>
      <c r="T43" s="23"/>
      <c r="U43" s="23"/>
      <c r="V43" s="36"/>
      <c r="W43" s="23"/>
      <c r="X43" s="23"/>
      <c r="Y43" s="23"/>
      <c r="Z43" s="23"/>
      <c r="AA43" s="23"/>
      <c r="AB43" s="23"/>
      <c r="AC43" s="108"/>
      <c r="AD43" s="23"/>
      <c r="AE43" s="23"/>
      <c r="AF43" s="23"/>
      <c r="AG43" s="36"/>
      <c r="AH43" s="23"/>
      <c r="AI43" s="23"/>
      <c r="AJ43" s="23"/>
      <c r="AK43" s="23"/>
      <c r="AL43" s="23"/>
      <c r="AM43" s="23"/>
      <c r="AN43" s="23"/>
      <c r="AO43" s="23"/>
      <c r="AP43" s="23"/>
      <c r="AQ43" s="108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108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108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108"/>
    </row>
    <row r="44" spans="1:79" x14ac:dyDescent="0.35">
      <c r="A44" s="13" t="s">
        <v>361</v>
      </c>
      <c r="D44" s="104" t="s">
        <v>30</v>
      </c>
      <c r="E44" s="110"/>
      <c r="F44" s="23"/>
      <c r="G44" s="111"/>
      <c r="H44" s="111" t="s">
        <v>362</v>
      </c>
      <c r="I44" s="111" t="s">
        <v>362</v>
      </c>
      <c r="J44" s="111" t="s">
        <v>362</v>
      </c>
      <c r="K44" s="111" t="s">
        <v>362</v>
      </c>
      <c r="L44" s="111" t="s">
        <v>362</v>
      </c>
      <c r="M44" s="111" t="s">
        <v>362</v>
      </c>
      <c r="N44" s="111">
        <v>1.7</v>
      </c>
      <c r="O44" s="160">
        <v>1.1000000000000001</v>
      </c>
      <c r="P44" s="111"/>
      <c r="Q44" s="111"/>
      <c r="R44" s="160"/>
      <c r="S44" s="110"/>
      <c r="T44" s="23"/>
      <c r="U44" s="111"/>
      <c r="V44" s="110" t="s">
        <v>362</v>
      </c>
      <c r="W44" s="111" t="s">
        <v>362</v>
      </c>
      <c r="X44" s="111">
        <v>1</v>
      </c>
      <c r="Y44" s="23" t="s">
        <v>362</v>
      </c>
      <c r="Z44" s="23">
        <v>1.2</v>
      </c>
      <c r="AA44" s="23">
        <v>13</v>
      </c>
      <c r="AB44" s="23">
        <v>20</v>
      </c>
      <c r="AC44" s="108">
        <v>1.6</v>
      </c>
      <c r="AD44" s="111"/>
      <c r="AE44" s="111"/>
      <c r="AF44" s="160"/>
      <c r="AG44" s="110"/>
      <c r="AH44" s="23"/>
      <c r="AI44" s="111"/>
      <c r="AJ44" s="111">
        <v>7.9</v>
      </c>
      <c r="AK44" s="111">
        <v>15</v>
      </c>
      <c r="AL44" s="111" t="s">
        <v>362</v>
      </c>
      <c r="AM44" s="111">
        <v>45</v>
      </c>
      <c r="AN44" s="23">
        <v>13</v>
      </c>
      <c r="AO44" s="111">
        <v>4.5</v>
      </c>
      <c r="AP44" s="111">
        <v>21</v>
      </c>
      <c r="AQ44" s="160">
        <v>19</v>
      </c>
      <c r="AR44" s="111"/>
      <c r="AS44" s="111"/>
      <c r="AT44" s="111"/>
      <c r="AU44" s="111">
        <v>12</v>
      </c>
      <c r="AV44" s="111">
        <v>16</v>
      </c>
      <c r="AW44" s="23">
        <v>6.1</v>
      </c>
      <c r="AX44" s="23">
        <v>42</v>
      </c>
      <c r="AY44" s="23">
        <v>15</v>
      </c>
      <c r="AZ44" s="111">
        <v>13</v>
      </c>
      <c r="BA44" s="111">
        <v>30</v>
      </c>
      <c r="BB44" s="160">
        <v>18</v>
      </c>
      <c r="BC44" s="111"/>
      <c r="BD44" s="23"/>
      <c r="BE44" s="23"/>
      <c r="BF44" s="23">
        <v>13</v>
      </c>
      <c r="BG44" s="23">
        <v>15</v>
      </c>
      <c r="BH44" s="23">
        <v>3.3</v>
      </c>
      <c r="BI44" s="23">
        <v>31</v>
      </c>
      <c r="BJ44" s="23">
        <v>17</v>
      </c>
      <c r="BK44" s="23">
        <v>12</v>
      </c>
      <c r="BL44" s="23">
        <v>56</v>
      </c>
      <c r="BM44" s="108">
        <v>15</v>
      </c>
      <c r="BN44" s="111"/>
      <c r="BO44" s="111"/>
      <c r="BP44" s="111"/>
      <c r="BQ44" s="111">
        <v>7.5</v>
      </c>
      <c r="BR44" s="111">
        <v>10</v>
      </c>
      <c r="BS44" s="23">
        <v>6</v>
      </c>
      <c r="BT44" s="23">
        <v>1.6</v>
      </c>
      <c r="BU44" s="23">
        <v>12</v>
      </c>
      <c r="BV44" s="23">
        <v>2.2000000000000002</v>
      </c>
      <c r="BW44" s="23">
        <v>4</v>
      </c>
      <c r="BX44" s="108">
        <v>1.7</v>
      </c>
    </row>
    <row r="45" spans="1:79" x14ac:dyDescent="0.35">
      <c r="E45" s="25"/>
      <c r="F45" s="219"/>
      <c r="H45" s="23"/>
      <c r="I45" s="23"/>
      <c r="J45" s="23"/>
      <c r="K45" s="23"/>
      <c r="L45" s="23"/>
      <c r="M45" s="23"/>
      <c r="N45" s="23"/>
      <c r="O45" s="108"/>
      <c r="Q45" s="23"/>
      <c r="R45" s="23"/>
      <c r="S45" s="25"/>
      <c r="T45" s="219"/>
      <c r="V45" s="25"/>
      <c r="Y45" s="198"/>
      <c r="Z45" s="198"/>
      <c r="AA45" s="198"/>
      <c r="AB45" s="198"/>
      <c r="AC45" s="225"/>
      <c r="AD45" s="198"/>
      <c r="AE45" s="198"/>
      <c r="AF45" s="198"/>
      <c r="AG45" s="198"/>
      <c r="AH45" s="198"/>
      <c r="AI45" s="198"/>
      <c r="AJ45" s="198"/>
      <c r="AK45" s="198"/>
      <c r="AL45" s="23"/>
      <c r="AM45" s="162"/>
      <c r="AN45" s="219"/>
      <c r="AO45" s="23"/>
      <c r="AP45" s="219"/>
      <c r="AQ45" s="108"/>
      <c r="AS45" s="23"/>
      <c r="AU45" s="23"/>
      <c r="AV45" s="23"/>
      <c r="AW45" s="219"/>
      <c r="AX45" s="219"/>
      <c r="AY45" s="219"/>
      <c r="AZ45" s="219"/>
      <c r="BA45" s="219"/>
      <c r="BB45" s="200"/>
      <c r="BD45" s="219"/>
      <c r="BE45" s="219"/>
      <c r="BF45" s="219"/>
      <c r="BG45" s="219"/>
      <c r="BH45" s="219"/>
      <c r="BI45" s="219"/>
      <c r="BJ45" s="219"/>
      <c r="BK45" s="219"/>
      <c r="BL45" s="219"/>
      <c r="BM45" s="200"/>
      <c r="BO45" s="23"/>
      <c r="BQ45" s="23"/>
      <c r="BR45" s="23"/>
      <c r="BS45" s="219"/>
      <c r="BT45" s="219"/>
      <c r="BU45" s="219"/>
      <c r="BV45" s="219"/>
      <c r="BW45" s="219"/>
      <c r="BX45" s="200"/>
    </row>
    <row r="46" spans="1:79" x14ac:dyDescent="0.35">
      <c r="BA46" s="119"/>
      <c r="BB46" s="273"/>
    </row>
    <row r="47" spans="1:79" ht="27" customHeight="1" x14ac:dyDescent="0.35">
      <c r="A47" s="348" t="s">
        <v>558</v>
      </c>
      <c r="B47" s="348"/>
      <c r="C47" s="348"/>
      <c r="D47" s="348"/>
      <c r="E47" s="348"/>
      <c r="F47" s="348"/>
      <c r="G47" s="348"/>
      <c r="H47" s="348"/>
      <c r="I47" s="348"/>
      <c r="J47" s="348"/>
      <c r="K47" s="348"/>
      <c r="L47" s="348"/>
      <c r="M47" s="348"/>
      <c r="N47" s="348"/>
      <c r="O47" s="348"/>
      <c r="P47" s="348"/>
      <c r="Q47" s="348"/>
      <c r="R47" s="348"/>
      <c r="S47" s="348"/>
      <c r="T47" s="348"/>
      <c r="U47" s="348"/>
      <c r="V47" s="348"/>
      <c r="W47" s="348"/>
      <c r="X47" s="348"/>
      <c r="Y47" s="348"/>
      <c r="Z47" s="348"/>
      <c r="AA47" s="348"/>
      <c r="AB47" s="348"/>
      <c r="AC47" s="348"/>
      <c r="AD47" s="348"/>
      <c r="AE47" s="348"/>
      <c r="AF47" s="348"/>
      <c r="AG47" s="348"/>
      <c r="AH47" s="348"/>
      <c r="AI47" s="348"/>
      <c r="AJ47" s="348"/>
      <c r="AK47" s="348"/>
      <c r="AL47" s="348"/>
      <c r="AM47" s="348"/>
      <c r="AN47" s="348"/>
      <c r="AO47" s="348"/>
      <c r="AP47" s="348"/>
      <c r="AQ47" s="348"/>
      <c r="AR47" s="348"/>
      <c r="AS47" s="348"/>
      <c r="AT47" s="348"/>
      <c r="AU47" s="348"/>
      <c r="AV47" s="348"/>
      <c r="AW47" s="348"/>
      <c r="AX47" s="348"/>
      <c r="AY47" s="348"/>
      <c r="AZ47" s="348"/>
      <c r="BA47" s="348"/>
      <c r="BB47" s="348"/>
      <c r="BC47" s="348"/>
      <c r="BD47" s="348"/>
      <c r="BE47" s="348"/>
      <c r="BF47" s="348"/>
      <c r="BG47" s="155"/>
      <c r="BH47" s="155"/>
      <c r="BI47" s="155"/>
      <c r="BJ47" s="14"/>
      <c r="BK47" s="14"/>
      <c r="BL47" s="14"/>
      <c r="BM47" s="21"/>
    </row>
    <row r="48" spans="1:79" ht="14.5" customHeight="1" x14ac:dyDescent="0.35">
      <c r="A48" s="348" t="s">
        <v>559</v>
      </c>
      <c r="B48" s="348"/>
      <c r="C48" s="348"/>
      <c r="D48" s="348"/>
      <c r="E48" s="348"/>
      <c r="F48" s="348"/>
      <c r="G48" s="348"/>
      <c r="H48" s="348"/>
      <c r="I48" s="348"/>
      <c r="J48" s="348"/>
      <c r="K48" s="348"/>
      <c r="L48" s="348"/>
      <c r="M48" s="348"/>
      <c r="N48" s="348"/>
      <c r="O48" s="348"/>
      <c r="P48" s="348"/>
      <c r="Q48" s="348"/>
      <c r="R48" s="348"/>
      <c r="S48" s="348"/>
      <c r="T48" s="348"/>
      <c r="U48" s="348"/>
      <c r="V48" s="348"/>
      <c r="W48" s="348"/>
      <c r="X48" s="348"/>
      <c r="Y48" s="348"/>
      <c r="Z48" s="348"/>
      <c r="AA48" s="348"/>
      <c r="AB48" s="348"/>
      <c r="AC48" s="348"/>
      <c r="AD48" s="348"/>
      <c r="AE48" s="348"/>
      <c r="AF48" s="348"/>
      <c r="AG48" s="348"/>
      <c r="AH48" s="348"/>
      <c r="AI48" s="348"/>
      <c r="AJ48" s="348"/>
      <c r="AK48" s="348"/>
      <c r="AL48" s="348"/>
      <c r="AM48" s="348"/>
      <c r="AN48" s="348"/>
      <c r="AO48" s="348"/>
      <c r="AP48" s="348"/>
      <c r="AQ48" s="348"/>
      <c r="AR48" s="348"/>
      <c r="AS48" s="348"/>
      <c r="AT48" s="348"/>
      <c r="AU48" s="348"/>
      <c r="AV48" s="348"/>
      <c r="AW48" s="348"/>
      <c r="AX48" s="348"/>
      <c r="AY48" s="348"/>
      <c r="AZ48" s="348"/>
      <c r="BA48" s="348"/>
      <c r="BB48" s="348"/>
      <c r="BC48" s="348"/>
      <c r="BD48" s="348"/>
      <c r="BE48" s="348"/>
      <c r="BF48" s="348"/>
      <c r="BG48" s="155"/>
      <c r="BH48" s="155"/>
      <c r="BI48" s="155"/>
      <c r="BJ48" s="14"/>
      <c r="BK48" s="14"/>
      <c r="BL48" s="14"/>
      <c r="BM48" s="21"/>
    </row>
  </sheetData>
  <mergeCells count="3">
    <mergeCell ref="B1:C1"/>
    <mergeCell ref="A48:BF48"/>
    <mergeCell ref="A47:BF47"/>
  </mergeCells>
  <phoneticPr fontId="14" type="noConversion"/>
  <conditionalFormatting sqref="E14 G14 U14:V14 AI14:AJ14 P14 AD14 R14:S14 AF14:AG14 AT25:AV26 AR14:AW14 AT30:AW30 AY19:BA19 AY21:BA26 AY14:BA14">
    <cfRule type="cellIs" dxfId="526" priority="558" operator="greaterThan">
      <formula>$B$14</formula>
    </cfRule>
  </conditionalFormatting>
  <conditionalFormatting sqref="E15 G15 U15:V15 AJ15 P15 AD15 R15:S15 AF15">
    <cfRule type="cellIs" dxfId="525" priority="556" operator="greaterThan">
      <formula>$B$15</formula>
    </cfRule>
  </conditionalFormatting>
  <conditionalFormatting sqref="E16 G16 S16 V16 AG16 AJ16 P16 Y16:AA16 Y14:AA14 X15:AA15 AD16 AB14:AB16">
    <cfRule type="cellIs" dxfId="524" priority="555" operator="greaterThan">
      <formula>$C$16</formula>
    </cfRule>
  </conditionalFormatting>
  <conditionalFormatting sqref="E17 G17 U17:V17 AI17:AJ17 P17 R17:S17 AF17:AG17 AT17:AW18 AW28 Y17:AB17 AY28:BA28 AY17:BA18 AD17">
    <cfRule type="cellIs" dxfId="523" priority="554" operator="greaterThan">
      <formula>$B$17</formula>
    </cfRule>
  </conditionalFormatting>
  <conditionalFormatting sqref="E18 G18 U18:V18 AI18:AJ18 P18 R18:S18 AF18:AG18 Y18:AB18 AD18">
    <cfRule type="cellIs" dxfId="522" priority="553" operator="greaterThan">
      <formula>$C$18</formula>
    </cfRule>
  </conditionalFormatting>
  <conditionalFormatting sqref="E19 G19 U19:V19 AI19 P19 AD19 R19:S19 AF19:AG19">
    <cfRule type="cellIs" dxfId="521" priority="552" operator="greaterThan">
      <formula>$C$19</formula>
    </cfRule>
  </conditionalFormatting>
  <conditionalFormatting sqref="E20 G20 U20:V20 AI20 P20 AD20 R20:S20 AF20:AG20">
    <cfRule type="cellIs" dxfId="520" priority="551" operator="greaterThan">
      <formula>$C$20</formula>
    </cfRule>
  </conditionalFormatting>
  <conditionalFormatting sqref="G21 U21:V21 AI21 P21 AD21 R21:S21 AF21:AG21">
    <cfRule type="cellIs" dxfId="519" priority="550" operator="greaterThan">
      <formula>$B$21</formula>
    </cfRule>
  </conditionalFormatting>
  <conditionalFormatting sqref="G22 S22 U22 AI22 P22 AD22 AF22:AG22">
    <cfRule type="cellIs" dxfId="518" priority="549" operator="greaterThan">
      <formula>$B$22</formula>
    </cfRule>
  </conditionalFormatting>
  <conditionalFormatting sqref="G24 S24 AI24 P24 AD24 AF24:AG24">
    <cfRule type="cellIs" dxfId="517" priority="547" operator="greaterThan">
      <formula>$B$24</formula>
    </cfRule>
  </conditionalFormatting>
  <conditionalFormatting sqref="G25 U25 AI25 P25 AD25 R25:S25 AF25:AG25 BQ25">
    <cfRule type="cellIs" dxfId="516" priority="546" operator="greaterThan">
      <formula>$B$25</formula>
    </cfRule>
  </conditionalFormatting>
  <conditionalFormatting sqref="G26 S26 AD26">
    <cfRule type="cellIs" dxfId="515" priority="545" operator="greaterThan">
      <formula>$C$26</formula>
    </cfRule>
  </conditionalFormatting>
  <conditionalFormatting sqref="G27 S27 U27 AI27 P27 AD27 AF27:AG27">
    <cfRule type="cellIs" dxfId="514" priority="544" operator="greaterThan">
      <formula>$C$27</formula>
    </cfRule>
  </conditionalFormatting>
  <conditionalFormatting sqref="E28 G28 S28 U28:V28 AI28:AJ28 P28 AF28:AG28 Y28:AB28 AD28">
    <cfRule type="cellIs" dxfId="513" priority="543" operator="greaterThan">
      <formula>$C$28</formula>
    </cfRule>
  </conditionalFormatting>
  <conditionalFormatting sqref="E30 G30 U30:V30 AI30:AJ30 P30 AD30 R30:S30 AF30:AG30">
    <cfRule type="cellIs" dxfId="512" priority="542" operator="greaterThan">
      <formula>$C$30</formula>
    </cfRule>
  </conditionalFormatting>
  <conditionalFormatting sqref="S37 P37 U37:V37 AI37:AJ37 AT37 BE37:BF37 BP37:BQ37 AD37 AR37 BN37 AF37:AG37 AW37 BC37">
    <cfRule type="cellIs" dxfId="511" priority="541" operator="greaterThan">
      <formula>$B$37</formula>
    </cfRule>
  </conditionalFormatting>
  <conditionalFormatting sqref="P38 U38:V38 AI38:AJ38 AT38 BE38:BF38 BP38:BQ38 AD38 AR38 BC38 BN38 R38:S38 AF38:AG38 AK37:AL37">
    <cfRule type="cellIs" dxfId="510" priority="540" operator="greaterThan">
      <formula>$B$38</formula>
    </cfRule>
  </conditionalFormatting>
  <conditionalFormatting sqref="S39 P39 U39:V39 AI39:AJ39 AT39 BE39:BF39 BP39:BQ39 AD39 AR39 BC39 BN39 AF39:AG39">
    <cfRule type="cellIs" dxfId="509" priority="539" operator="greaterThan">
      <formula>$B$39</formula>
    </cfRule>
  </conditionalFormatting>
  <conditionalFormatting sqref="F14">
    <cfRule type="cellIs" dxfId="508" priority="538" operator="greaterThan">
      <formula>$B$14</formula>
    </cfRule>
  </conditionalFormatting>
  <conditionalFormatting sqref="F15">
    <cfRule type="cellIs" dxfId="507" priority="537" operator="greaterThan">
      <formula>$B$15</formula>
    </cfRule>
  </conditionalFormatting>
  <conditionalFormatting sqref="F16">
    <cfRule type="cellIs" dxfId="506" priority="536" operator="greaterThan">
      <formula>$C$16</formula>
    </cfRule>
  </conditionalFormatting>
  <conditionalFormatting sqref="F17">
    <cfRule type="cellIs" dxfId="505" priority="535" operator="greaterThan">
      <formula>$B$17</formula>
    </cfRule>
  </conditionalFormatting>
  <conditionalFormatting sqref="F18">
    <cfRule type="cellIs" dxfId="504" priority="534" operator="greaterThan">
      <formula>$C$18</formula>
    </cfRule>
  </conditionalFormatting>
  <conditionalFormatting sqref="F19">
    <cfRule type="cellIs" dxfId="503" priority="533" operator="greaterThan">
      <formula>$C$19</formula>
    </cfRule>
  </conditionalFormatting>
  <conditionalFormatting sqref="F20">
    <cfRule type="cellIs" dxfId="502" priority="532" operator="greaterThan">
      <formula>$C$20</formula>
    </cfRule>
  </conditionalFormatting>
  <conditionalFormatting sqref="F21">
    <cfRule type="cellIs" dxfId="501" priority="531" operator="greaterThan">
      <formula>$B$21</formula>
    </cfRule>
  </conditionalFormatting>
  <conditionalFormatting sqref="F22">
    <cfRule type="cellIs" dxfId="500" priority="530" operator="greaterThan">
      <formula>$B$22</formula>
    </cfRule>
  </conditionalFormatting>
  <conditionalFormatting sqref="F24">
    <cfRule type="cellIs" dxfId="499" priority="529" operator="greaterThan">
      <formula>$B$24</formula>
    </cfRule>
  </conditionalFormatting>
  <conditionalFormatting sqref="F25">
    <cfRule type="cellIs" dxfId="498" priority="528" operator="greaterThan">
      <formula>$B$25</formula>
    </cfRule>
  </conditionalFormatting>
  <conditionalFormatting sqref="F26">
    <cfRule type="cellIs" dxfId="497" priority="527" operator="greaterThan">
      <formula>$C$26</formula>
    </cfRule>
  </conditionalFormatting>
  <conditionalFormatting sqref="F27">
    <cfRule type="cellIs" dxfId="496" priority="526" operator="greaterThan">
      <formula>$C$27</formula>
    </cfRule>
  </conditionalFormatting>
  <conditionalFormatting sqref="F28">
    <cfRule type="cellIs" dxfId="495" priority="525" operator="greaterThan">
      <formula>$C$28</formula>
    </cfRule>
  </conditionalFormatting>
  <conditionalFormatting sqref="F30">
    <cfRule type="cellIs" dxfId="494" priority="524" operator="greaterThan">
      <formula>$C$30</formula>
    </cfRule>
  </conditionalFormatting>
  <conditionalFormatting sqref="Q14">
    <cfRule type="cellIs" dxfId="493" priority="523" operator="greaterThan">
      <formula>$B$14</formula>
    </cfRule>
  </conditionalFormatting>
  <conditionalFormatting sqref="Q15">
    <cfRule type="cellIs" dxfId="492" priority="522" operator="greaterThan">
      <formula>$B$15</formula>
    </cfRule>
  </conditionalFormatting>
  <conditionalFormatting sqref="Q16">
    <cfRule type="cellIs" dxfId="491" priority="521" operator="greaterThan">
      <formula>$C$16</formula>
    </cfRule>
  </conditionalFormatting>
  <conditionalFormatting sqref="Q17">
    <cfRule type="cellIs" dxfId="490" priority="520" operator="greaterThan">
      <formula>$B$17</formula>
    </cfRule>
  </conditionalFormatting>
  <conditionalFormatting sqref="Q18">
    <cfRule type="cellIs" dxfId="489" priority="519" operator="greaterThan">
      <formula>$C$18</formula>
    </cfRule>
  </conditionalFormatting>
  <conditionalFormatting sqref="Q19">
    <cfRule type="cellIs" dxfId="488" priority="518" operator="greaterThan">
      <formula>$C$19</formula>
    </cfRule>
  </conditionalFormatting>
  <conditionalFormatting sqref="Q20">
    <cfRule type="cellIs" dxfId="487" priority="517" operator="greaterThan">
      <formula>$C$20</formula>
    </cfRule>
  </conditionalFormatting>
  <conditionalFormatting sqref="Q21">
    <cfRule type="cellIs" dxfId="486" priority="516" operator="greaterThan">
      <formula>$B$21</formula>
    </cfRule>
  </conditionalFormatting>
  <conditionalFormatting sqref="Q22">
    <cfRule type="cellIs" dxfId="485" priority="515" operator="greaterThan">
      <formula>$B$22</formula>
    </cfRule>
  </conditionalFormatting>
  <conditionalFormatting sqref="Q24">
    <cfRule type="cellIs" dxfId="484" priority="514" operator="greaterThan">
      <formula>$B$24</formula>
    </cfRule>
  </conditionalFormatting>
  <conditionalFormatting sqref="Q25">
    <cfRule type="cellIs" dxfId="483" priority="513" operator="greaterThan">
      <formula>$B$25</formula>
    </cfRule>
  </conditionalFormatting>
  <conditionalFormatting sqref="Q26">
    <cfRule type="cellIs" dxfId="482" priority="512" operator="greaterThan">
      <formula>$C$26</formula>
    </cfRule>
  </conditionalFormatting>
  <conditionalFormatting sqref="Q27">
    <cfRule type="cellIs" dxfId="481" priority="511" operator="greaterThan">
      <formula>$C$27</formula>
    </cfRule>
  </conditionalFormatting>
  <conditionalFormatting sqref="Q28">
    <cfRule type="cellIs" dxfId="480" priority="510" operator="greaterThan">
      <formula>$C$28</formula>
    </cfRule>
  </conditionalFormatting>
  <conditionalFormatting sqref="Q30">
    <cfRule type="cellIs" dxfId="479" priority="509" operator="greaterThan">
      <formula>$C$30</formula>
    </cfRule>
  </conditionalFormatting>
  <conditionalFormatting sqref="Q38">
    <cfRule type="cellIs" dxfId="478" priority="508" operator="greaterThan">
      <formula>$B$38</formula>
    </cfRule>
  </conditionalFormatting>
  <conditionalFormatting sqref="T14">
    <cfRule type="cellIs" dxfId="477" priority="507" operator="greaterThan">
      <formula>$B$14</formula>
    </cfRule>
  </conditionalFormatting>
  <conditionalFormatting sqref="T15">
    <cfRule type="cellIs" dxfId="476" priority="506" operator="greaterThan">
      <formula>$B$15</formula>
    </cfRule>
  </conditionalFormatting>
  <conditionalFormatting sqref="T16">
    <cfRule type="cellIs" dxfId="475" priority="505" operator="greaterThan">
      <formula>$C$16</formula>
    </cfRule>
  </conditionalFormatting>
  <conditionalFormatting sqref="T17">
    <cfRule type="cellIs" dxfId="474" priority="504" operator="greaterThan">
      <formula>$B$17</formula>
    </cfRule>
  </conditionalFormatting>
  <conditionalFormatting sqref="T18">
    <cfRule type="cellIs" dxfId="473" priority="503" operator="greaterThan">
      <formula>$C$18</formula>
    </cfRule>
  </conditionalFormatting>
  <conditionalFormatting sqref="T19">
    <cfRule type="cellIs" dxfId="472" priority="502" operator="greaterThan">
      <formula>$C$19</formula>
    </cfRule>
  </conditionalFormatting>
  <conditionalFormatting sqref="T20">
    <cfRule type="cellIs" dxfId="471" priority="501" operator="greaterThan">
      <formula>$C$20</formula>
    </cfRule>
  </conditionalFormatting>
  <conditionalFormatting sqref="T21">
    <cfRule type="cellIs" dxfId="470" priority="500" operator="greaterThan">
      <formula>$B$21</formula>
    </cfRule>
  </conditionalFormatting>
  <conditionalFormatting sqref="T22">
    <cfRule type="cellIs" dxfId="469" priority="499" operator="greaterThan">
      <formula>$B$22</formula>
    </cfRule>
  </conditionalFormatting>
  <conditionalFormatting sqref="T24">
    <cfRule type="cellIs" dxfId="468" priority="498" operator="greaterThan">
      <formula>$B$24</formula>
    </cfRule>
  </conditionalFormatting>
  <conditionalFormatting sqref="T25">
    <cfRule type="cellIs" dxfId="467" priority="497" operator="greaterThan">
      <formula>$B$25</formula>
    </cfRule>
  </conditionalFormatting>
  <conditionalFormatting sqref="T26">
    <cfRule type="cellIs" dxfId="466" priority="496" operator="greaterThan">
      <formula>$C$26</formula>
    </cfRule>
  </conditionalFormatting>
  <conditionalFormatting sqref="T27">
    <cfRule type="cellIs" dxfId="465" priority="495" operator="greaterThan">
      <formula>$C$27</formula>
    </cfRule>
  </conditionalFormatting>
  <conditionalFormatting sqref="T28">
    <cfRule type="cellIs" dxfId="464" priority="494" operator="greaterThan">
      <formula>$C$28</formula>
    </cfRule>
  </conditionalFormatting>
  <conditionalFormatting sqref="T30">
    <cfRule type="cellIs" dxfId="463" priority="493" operator="greaterThan">
      <formula>$C$30</formula>
    </cfRule>
  </conditionalFormatting>
  <conditionalFormatting sqref="T37">
    <cfRule type="cellIs" dxfId="462" priority="492" operator="greaterThan">
      <formula>$B$37</formula>
    </cfRule>
  </conditionalFormatting>
  <conditionalFormatting sqref="T38">
    <cfRule type="cellIs" dxfId="461" priority="491" operator="greaterThan">
      <formula>$B$38</formula>
    </cfRule>
  </conditionalFormatting>
  <conditionalFormatting sqref="T39">
    <cfRule type="cellIs" dxfId="460" priority="490" operator="greaterThan">
      <formula>$B$39</formula>
    </cfRule>
  </conditionalFormatting>
  <conditionalFormatting sqref="AE14">
    <cfRule type="cellIs" dxfId="459" priority="489" operator="greaterThan">
      <formula>$B$14</formula>
    </cfRule>
  </conditionalFormatting>
  <conditionalFormatting sqref="AE15">
    <cfRule type="cellIs" dxfId="458" priority="488" operator="greaterThan">
      <formula>$B$15</formula>
    </cfRule>
  </conditionalFormatting>
  <conditionalFormatting sqref="AE16">
    <cfRule type="cellIs" dxfId="457" priority="487" operator="greaterThan">
      <formula>$C$16</formula>
    </cfRule>
  </conditionalFormatting>
  <conditionalFormatting sqref="AE17">
    <cfRule type="cellIs" dxfId="456" priority="486" operator="greaterThan">
      <formula>$B$17</formula>
    </cfRule>
  </conditionalFormatting>
  <conditionalFormatting sqref="AE18">
    <cfRule type="cellIs" dxfId="455" priority="485" operator="greaterThan">
      <formula>$C$18</formula>
    </cfRule>
  </conditionalFormatting>
  <conditionalFormatting sqref="AE19">
    <cfRule type="cellIs" dxfId="454" priority="484" operator="greaterThan">
      <formula>$C$19</formula>
    </cfRule>
  </conditionalFormatting>
  <conditionalFormatting sqref="AE20">
    <cfRule type="cellIs" dxfId="453" priority="483" operator="greaterThan">
      <formula>$C$20</formula>
    </cfRule>
  </conditionalFormatting>
  <conditionalFormatting sqref="AE21">
    <cfRule type="cellIs" dxfId="452" priority="482" operator="greaterThan">
      <formula>$B$21</formula>
    </cfRule>
  </conditionalFormatting>
  <conditionalFormatting sqref="AE22">
    <cfRule type="cellIs" dxfId="451" priority="481" operator="greaterThan">
      <formula>$B$22</formula>
    </cfRule>
  </conditionalFormatting>
  <conditionalFormatting sqref="AE24">
    <cfRule type="cellIs" dxfId="450" priority="480" operator="greaterThan">
      <formula>$B$24</formula>
    </cfRule>
  </conditionalFormatting>
  <conditionalFormatting sqref="AE25">
    <cfRule type="cellIs" dxfId="449" priority="479" operator="greaterThan">
      <formula>$B$25</formula>
    </cfRule>
  </conditionalFormatting>
  <conditionalFormatting sqref="AE26">
    <cfRule type="cellIs" dxfId="448" priority="478" operator="greaterThan">
      <formula>$C$26</formula>
    </cfRule>
  </conditionalFormatting>
  <conditionalFormatting sqref="AE27">
    <cfRule type="cellIs" dxfId="447" priority="477" operator="greaterThan">
      <formula>$C$27</formula>
    </cfRule>
  </conditionalFormatting>
  <conditionalFormatting sqref="AE28">
    <cfRule type="cellIs" dxfId="446" priority="476" operator="greaterThan">
      <formula>$C$28</formula>
    </cfRule>
  </conditionalFormatting>
  <conditionalFormatting sqref="AE30">
    <cfRule type="cellIs" dxfId="445" priority="475" operator="greaterThan">
      <formula>$C$30</formula>
    </cfRule>
  </conditionalFormatting>
  <conditionalFormatting sqref="AE37">
    <cfRule type="cellIs" dxfId="444" priority="474" operator="greaterThan">
      <formula>$B$37</formula>
    </cfRule>
  </conditionalFormatting>
  <conditionalFormatting sqref="AE38">
    <cfRule type="cellIs" dxfId="443" priority="473" operator="greaterThan">
      <formula>$B$38</formula>
    </cfRule>
  </conditionalFormatting>
  <conditionalFormatting sqref="AE39">
    <cfRule type="cellIs" dxfId="442" priority="472" operator="greaterThan">
      <formula>$B$39</formula>
    </cfRule>
  </conditionalFormatting>
  <conditionalFormatting sqref="AH14">
    <cfRule type="cellIs" dxfId="441" priority="471" operator="greaterThan">
      <formula>$B$14</formula>
    </cfRule>
  </conditionalFormatting>
  <conditionalFormatting sqref="AH16">
    <cfRule type="cellIs" dxfId="440" priority="469" operator="greaterThan">
      <formula>$C$16</formula>
    </cfRule>
  </conditionalFormatting>
  <conditionalFormatting sqref="AH17">
    <cfRule type="cellIs" dxfId="439" priority="468" operator="greaterThan">
      <formula>$B$17</formula>
    </cfRule>
  </conditionalFormatting>
  <conditionalFormatting sqref="AH18">
    <cfRule type="cellIs" dxfId="438" priority="467" operator="greaterThan">
      <formula>$C$18</formula>
    </cfRule>
  </conditionalFormatting>
  <conditionalFormatting sqref="AH19">
    <cfRule type="cellIs" dxfId="437" priority="466" operator="greaterThan">
      <formula>$C$19</formula>
    </cfRule>
  </conditionalFormatting>
  <conditionalFormatting sqref="AH20">
    <cfRule type="cellIs" dxfId="436" priority="465" operator="greaterThan">
      <formula>$C$20</formula>
    </cfRule>
  </conditionalFormatting>
  <conditionalFormatting sqref="AH21">
    <cfRule type="cellIs" dxfId="435" priority="464" operator="greaterThan">
      <formula>$B$21</formula>
    </cfRule>
  </conditionalFormatting>
  <conditionalFormatting sqref="AH22">
    <cfRule type="cellIs" dxfId="434" priority="463" operator="greaterThan">
      <formula>$B$22</formula>
    </cfRule>
  </conditionalFormatting>
  <conditionalFormatting sqref="AH24">
    <cfRule type="cellIs" dxfId="433" priority="462" operator="greaterThan">
      <formula>$B$24</formula>
    </cfRule>
  </conditionalFormatting>
  <conditionalFormatting sqref="AH25">
    <cfRule type="cellIs" dxfId="432" priority="461" operator="greaterThan">
      <formula>$B$25</formula>
    </cfRule>
  </conditionalFormatting>
  <conditionalFormatting sqref="AH26">
    <cfRule type="cellIs" dxfId="431" priority="460" operator="greaterThan">
      <formula>$C$26</formula>
    </cfRule>
  </conditionalFormatting>
  <conditionalFormatting sqref="AH27">
    <cfRule type="cellIs" dxfId="430" priority="459" operator="greaterThan">
      <formula>$C$27</formula>
    </cfRule>
  </conditionalFormatting>
  <conditionalFormatting sqref="AH28">
    <cfRule type="cellIs" dxfId="429" priority="458" operator="greaterThan">
      <formula>$C$28</formula>
    </cfRule>
  </conditionalFormatting>
  <conditionalFormatting sqref="AH30">
    <cfRule type="cellIs" dxfId="428" priority="457" operator="greaterThan">
      <formula>$C$30</formula>
    </cfRule>
  </conditionalFormatting>
  <conditionalFormatting sqref="AH37">
    <cfRule type="cellIs" dxfId="427" priority="456" operator="greaterThan">
      <formula>$B$37</formula>
    </cfRule>
  </conditionalFormatting>
  <conditionalFormatting sqref="AH38">
    <cfRule type="cellIs" dxfId="426" priority="455" operator="greaterThan">
      <formula>$B$38</formula>
    </cfRule>
  </conditionalFormatting>
  <conditionalFormatting sqref="AH39">
    <cfRule type="cellIs" dxfId="425" priority="454" operator="greaterThan">
      <formula>$B$39</formula>
    </cfRule>
  </conditionalFormatting>
  <conditionalFormatting sqref="AS37">
    <cfRule type="cellIs" dxfId="424" priority="438" operator="greaterThan">
      <formula>$B$37</formula>
    </cfRule>
  </conditionalFormatting>
  <conditionalFormatting sqref="AS38">
    <cfRule type="cellIs" dxfId="423" priority="437" operator="greaterThan">
      <formula>$B$38</formula>
    </cfRule>
  </conditionalFormatting>
  <conditionalFormatting sqref="AS39">
    <cfRule type="cellIs" dxfId="422" priority="436" operator="greaterThan">
      <formula>$B$39</formula>
    </cfRule>
  </conditionalFormatting>
  <conditionalFormatting sqref="BD37">
    <cfRule type="cellIs" dxfId="421" priority="420" operator="greaterThan">
      <formula>$B$37</formula>
    </cfRule>
  </conditionalFormatting>
  <conditionalFormatting sqref="BD38">
    <cfRule type="cellIs" dxfId="420" priority="419" operator="greaterThan">
      <formula>$B$38</formula>
    </cfRule>
  </conditionalFormatting>
  <conditionalFormatting sqref="BD39">
    <cfRule type="cellIs" dxfId="419" priority="418" operator="greaterThan">
      <formula>$B$39</formula>
    </cfRule>
  </conditionalFormatting>
  <conditionalFormatting sqref="BO37">
    <cfRule type="cellIs" dxfId="418" priority="402" operator="greaterThan">
      <formula>$B$37</formula>
    </cfRule>
  </conditionalFormatting>
  <conditionalFormatting sqref="BO38">
    <cfRule type="cellIs" dxfId="417" priority="401" operator="greaterThan">
      <formula>$B$38</formula>
    </cfRule>
  </conditionalFormatting>
  <conditionalFormatting sqref="BO39">
    <cfRule type="cellIs" dxfId="416" priority="400" operator="greaterThan">
      <formula>$B$39</formula>
    </cfRule>
  </conditionalFormatting>
  <conditionalFormatting sqref="H14">
    <cfRule type="cellIs" dxfId="415" priority="397" operator="greaterThan">
      <formula>$B$14</formula>
    </cfRule>
  </conditionalFormatting>
  <conditionalFormatting sqref="H16">
    <cfRule type="cellIs" dxfId="414" priority="395" operator="greaterThan">
      <formula>$C$16</formula>
    </cfRule>
  </conditionalFormatting>
  <conditionalFormatting sqref="H17">
    <cfRule type="cellIs" dxfId="413" priority="394" operator="greaterThan">
      <formula>$B$17</formula>
    </cfRule>
  </conditionalFormatting>
  <conditionalFormatting sqref="H18">
    <cfRule type="cellIs" dxfId="412" priority="393" operator="greaterThan">
      <formula>$C$18</formula>
    </cfRule>
  </conditionalFormatting>
  <conditionalFormatting sqref="H28">
    <cfRule type="cellIs" dxfId="411" priority="384" operator="greaterThan">
      <formula>$C$28</formula>
    </cfRule>
  </conditionalFormatting>
  <conditionalFormatting sqref="H30">
    <cfRule type="cellIs" dxfId="410" priority="383" operator="greaterThan">
      <formula>$C$30</formula>
    </cfRule>
  </conditionalFormatting>
  <conditionalFormatting sqref="R28">
    <cfRule type="cellIs" dxfId="409" priority="364" operator="greaterThan">
      <formula>$C$28</formula>
    </cfRule>
  </conditionalFormatting>
  <conditionalFormatting sqref="I16:J16 L16">
    <cfRule type="cellIs" dxfId="408" priority="363" operator="greaterThan">
      <formula>$D$17</formula>
    </cfRule>
  </conditionalFormatting>
  <conditionalFormatting sqref="I18:J18">
    <cfRule type="cellIs" dxfId="407" priority="361" operator="greaterThan">
      <formula>$D$19</formula>
    </cfRule>
  </conditionalFormatting>
  <conditionalFormatting sqref="I28:J28 L28">
    <cfRule type="cellIs" dxfId="406" priority="360" operator="greaterThan">
      <formula>$D$29</formula>
    </cfRule>
  </conditionalFormatting>
  <conditionalFormatting sqref="I30:J30 L30 Y30:AB30">
    <cfRule type="cellIs" dxfId="405" priority="359" operator="greaterThan">
      <formula>$D$31</formula>
    </cfRule>
  </conditionalFormatting>
  <conditionalFormatting sqref="W17">
    <cfRule type="cellIs" dxfId="404" priority="355" operator="greaterThan">
      <formula>$C$18</formula>
    </cfRule>
  </conditionalFormatting>
  <conditionalFormatting sqref="W30">
    <cfRule type="cellIs" dxfId="403" priority="352" operator="greaterThan">
      <formula>$D$31</formula>
    </cfRule>
  </conditionalFormatting>
  <conditionalFormatting sqref="AK15">
    <cfRule type="cellIs" dxfId="402" priority="347" operator="greaterThan">
      <formula>$C$16</formula>
    </cfRule>
  </conditionalFormatting>
  <conditionalFormatting sqref="AK16">
    <cfRule type="cellIs" dxfId="401" priority="346" operator="greaterThan">
      <formula>$D$17</formula>
    </cfRule>
  </conditionalFormatting>
  <conditionalFormatting sqref="AK17">
    <cfRule type="cellIs" dxfId="400" priority="345" operator="greaterThan">
      <formula>$C$18</formula>
    </cfRule>
  </conditionalFormatting>
  <conditionalFormatting sqref="AK30">
    <cfRule type="cellIs" dxfId="399" priority="342" operator="greaterThan">
      <formula>$D$31</formula>
    </cfRule>
  </conditionalFormatting>
  <conditionalFormatting sqref="BP16:BQ16">
    <cfRule type="cellIs" dxfId="398" priority="278" operator="greaterThan">
      <formula>$C$16</formula>
    </cfRule>
  </conditionalFormatting>
  <conditionalFormatting sqref="BS18">
    <cfRule type="cellIs" dxfId="397" priority="276" operator="greaterThan">
      <formula>$C$18</formula>
    </cfRule>
  </conditionalFormatting>
  <conditionalFormatting sqref="BS19">
    <cfRule type="cellIs" dxfId="396" priority="275" operator="greaterThan">
      <formula>$C$19</formula>
    </cfRule>
  </conditionalFormatting>
  <conditionalFormatting sqref="AT25">
    <cfRule type="cellIs" dxfId="395" priority="270" operator="greaterThan">
      <formula>$B$25</formula>
    </cfRule>
  </conditionalFormatting>
  <conditionalFormatting sqref="W28:X28 Z28">
    <cfRule type="cellIs" dxfId="394" priority="266" operator="greaterThan">
      <formula>$C$28</formula>
    </cfRule>
  </conditionalFormatting>
  <conditionalFormatting sqref="X17">
    <cfRule type="cellIs" dxfId="393" priority="265" operator="greaterThan">
      <formula>$B$17</formula>
    </cfRule>
  </conditionalFormatting>
  <conditionalFormatting sqref="W18:X18">
    <cfRule type="cellIs" dxfId="392" priority="264" operator="greaterThan">
      <formula>$C$18</formula>
    </cfRule>
  </conditionalFormatting>
  <conditionalFormatting sqref="W16:X16">
    <cfRule type="cellIs" dxfId="391" priority="263" operator="greaterThan">
      <formula>$C$16</formula>
    </cfRule>
  </conditionalFormatting>
  <conditionalFormatting sqref="X14">
    <cfRule type="cellIs" dxfId="390" priority="262" operator="greaterThan">
      <formula>$C$16</formula>
    </cfRule>
  </conditionalFormatting>
  <conditionalFormatting sqref="W14:W15">
    <cfRule type="cellIs" dxfId="389" priority="261" operator="greaterThan">
      <formula>$C$16</formula>
    </cfRule>
  </conditionalFormatting>
  <conditionalFormatting sqref="AW15:AW16">
    <cfRule type="cellIs" dxfId="388" priority="259" operator="greaterThan">
      <formula>$B$14</formula>
    </cfRule>
  </conditionalFormatting>
  <conditionalFormatting sqref="AV15">
    <cfRule type="cellIs" dxfId="387" priority="258" operator="greaterThan">
      <formula>$B$14</formula>
    </cfRule>
  </conditionalFormatting>
  <conditionalFormatting sqref="BH37">
    <cfRule type="cellIs" dxfId="386" priority="256" operator="greaterThan">
      <formula>$B$37</formula>
    </cfRule>
  </conditionalFormatting>
  <conditionalFormatting sqref="BG37:BG39">
    <cfRule type="cellIs" dxfId="385" priority="255" operator="greaterThan">
      <formula>$B$37</formula>
    </cfRule>
  </conditionalFormatting>
  <conditionalFormatting sqref="BH38:BH39 BJ38:BL39">
    <cfRule type="cellIs" dxfId="384" priority="254" operator="greaterThan">
      <formula>$B$37</formula>
    </cfRule>
  </conditionalFormatting>
  <conditionalFormatting sqref="BR37:BS39">
    <cfRule type="cellIs" dxfId="383" priority="253" operator="greaterThan">
      <formula>$B$38</formula>
    </cfRule>
  </conditionalFormatting>
  <conditionalFormatting sqref="AK38:AL39">
    <cfRule type="cellIs" dxfId="382" priority="252" operator="greaterThan">
      <formula>$B$38</formula>
    </cfRule>
  </conditionalFormatting>
  <conditionalFormatting sqref="AJ40">
    <cfRule type="cellIs" dxfId="381" priority="251" operator="greaterThan">
      <formula>$B$38</formula>
    </cfRule>
  </conditionalFormatting>
  <conditionalFormatting sqref="AK14:AL14 AN14:AP14">
    <cfRule type="cellIs" dxfId="380" priority="250" operator="greaterThan">
      <formula>$B$14</formula>
    </cfRule>
  </conditionalFormatting>
  <conditionalFormatting sqref="AL15">
    <cfRule type="cellIs" dxfId="379" priority="249" operator="greaterThan">
      <formula>$C$16</formula>
    </cfRule>
  </conditionalFormatting>
  <conditionalFormatting sqref="AL16 AN16:AP16">
    <cfRule type="cellIs" dxfId="378" priority="248" operator="greaterThan">
      <formula>$C$16</formula>
    </cfRule>
  </conditionalFormatting>
  <conditionalFormatting sqref="AL17">
    <cfRule type="cellIs" dxfId="377" priority="247" operator="greaterThan">
      <formula>$C$16</formula>
    </cfRule>
  </conditionalFormatting>
  <conditionalFormatting sqref="AK18:AL18">
    <cfRule type="cellIs" dxfId="376" priority="245" operator="greaterThan">
      <formula>$C$18</formula>
    </cfRule>
  </conditionalFormatting>
  <conditionalFormatting sqref="AK28:AL28 AN28:AP28">
    <cfRule type="cellIs" dxfId="375" priority="244" operator="greaterThan">
      <formula>$C$28</formula>
    </cfRule>
  </conditionalFormatting>
  <conditionalFormatting sqref="AL30">
    <cfRule type="cellIs" dxfId="374" priority="243" operator="greaterThan">
      <formula>$D$31</formula>
    </cfRule>
  </conditionalFormatting>
  <conditionalFormatting sqref="AT16">
    <cfRule type="cellIs" dxfId="373" priority="242" operator="greaterThan">
      <formula>$B$14</formula>
    </cfRule>
  </conditionalFormatting>
  <conditionalFormatting sqref="AR15:AR18">
    <cfRule type="cellIs" dxfId="372" priority="241" operator="greaterThan">
      <formula>$B$17</formula>
    </cfRule>
  </conditionalFormatting>
  <conditionalFormatting sqref="AS15:AS18">
    <cfRule type="cellIs" dxfId="371" priority="240" operator="greaterThan">
      <formula>$B$17</formula>
    </cfRule>
  </conditionalFormatting>
  <conditionalFormatting sqref="AT15:AU15">
    <cfRule type="cellIs" dxfId="370" priority="238" operator="greaterThan">
      <formula>$B$17</formula>
    </cfRule>
  </conditionalFormatting>
  <conditionalFormatting sqref="AU16">
    <cfRule type="cellIs" dxfId="369" priority="237" operator="greaterThan">
      <formula>$B$17</formula>
    </cfRule>
  </conditionalFormatting>
  <conditionalFormatting sqref="AR19:AV19">
    <cfRule type="cellIs" dxfId="368" priority="236" operator="greaterThan">
      <formula>$B$14</formula>
    </cfRule>
  </conditionalFormatting>
  <conditionalFormatting sqref="AW27">
    <cfRule type="cellIs" dxfId="367" priority="235" operator="greaterThan">
      <formula>$B$14</formula>
    </cfRule>
  </conditionalFormatting>
  <conditionalFormatting sqref="AT20">
    <cfRule type="cellIs" dxfId="366" priority="234" operator="greaterThan">
      <formula>$B$17</formula>
    </cfRule>
  </conditionalFormatting>
  <conditionalFormatting sqref="AR24:AT24">
    <cfRule type="cellIs" dxfId="365" priority="232" operator="greaterThan">
      <formula>$B$17</formula>
    </cfRule>
  </conditionalFormatting>
  <conditionalFormatting sqref="AR22:AT22">
    <cfRule type="cellIs" dxfId="364" priority="231" operator="greaterThan">
      <formula>$B$17</formula>
    </cfRule>
  </conditionalFormatting>
  <conditionalFormatting sqref="X30 Z30">
    <cfRule type="cellIs" dxfId="363" priority="230" operator="greaterThan">
      <formula>$D$31</formula>
    </cfRule>
  </conditionalFormatting>
  <conditionalFormatting sqref="AR25:AS25">
    <cfRule type="cellIs" dxfId="362" priority="229" operator="greaterThan">
      <formula>$B$17</formula>
    </cfRule>
  </conditionalFormatting>
  <conditionalFormatting sqref="AR28:AU28">
    <cfRule type="cellIs" dxfId="361" priority="228" operator="greaterThan">
      <formula>$B$17</formula>
    </cfRule>
  </conditionalFormatting>
  <conditionalFormatting sqref="AV28">
    <cfRule type="cellIs" dxfId="360" priority="227" operator="greaterThan">
      <formula>$B$14</formula>
    </cfRule>
  </conditionalFormatting>
  <conditionalFormatting sqref="AR30:AS30">
    <cfRule type="cellIs" dxfId="359" priority="225" operator="greaterThan">
      <formula>$B$17</formula>
    </cfRule>
  </conditionalFormatting>
  <conditionalFormatting sqref="AU20:AV27">
    <cfRule type="cellIs" dxfId="358" priority="223" operator="greaterThan">
      <formula>$B$14</formula>
    </cfRule>
  </conditionalFormatting>
  <conditionalFormatting sqref="AR20:AS21">
    <cfRule type="cellIs" dxfId="357" priority="222" operator="greaterThan">
      <formula>$B$14</formula>
    </cfRule>
  </conditionalFormatting>
  <conditionalFormatting sqref="AT21">
    <cfRule type="cellIs" dxfId="356" priority="221" operator="greaterThan">
      <formula>$B$14</formula>
    </cfRule>
  </conditionalFormatting>
  <conditionalFormatting sqref="AR23:AT23">
    <cfRule type="cellIs" dxfId="355" priority="220" operator="greaterThan">
      <formula>$B$14</formula>
    </cfRule>
  </conditionalFormatting>
  <conditionalFormatting sqref="AR26:AT27">
    <cfRule type="cellIs" dxfId="354" priority="219" operator="greaterThan">
      <formula>$B$14</formula>
    </cfRule>
  </conditionalFormatting>
  <conditionalFormatting sqref="BC14:BH14 BJ14:BL14">
    <cfRule type="cellIs" dxfId="353" priority="218" operator="greaterThan">
      <formula>$B$14</formula>
    </cfRule>
  </conditionalFormatting>
  <conditionalFormatting sqref="BC15:BF15">
    <cfRule type="cellIs" dxfId="352" priority="217" operator="greaterThan">
      <formula>$B$17</formula>
    </cfRule>
  </conditionalFormatting>
  <conditionalFormatting sqref="BC16:BD16">
    <cfRule type="cellIs" dxfId="351" priority="216" operator="greaterThan">
      <formula>$B$17</formula>
    </cfRule>
  </conditionalFormatting>
  <conditionalFormatting sqref="BC17:BG17">
    <cfRule type="cellIs" dxfId="350" priority="215" operator="greaterThan">
      <formula>$B$17</formula>
    </cfRule>
  </conditionalFormatting>
  <conditionalFormatting sqref="BC18:BG18">
    <cfRule type="cellIs" dxfId="349" priority="214" operator="greaterThan">
      <formula>$B$17</formula>
    </cfRule>
  </conditionalFormatting>
  <conditionalFormatting sqref="BN14:BS14 BU14:BW14">
    <cfRule type="cellIs" dxfId="348" priority="213" operator="greaterThan">
      <formula>$B$14</formula>
    </cfRule>
  </conditionalFormatting>
  <conditionalFormatting sqref="BG15:BH15 BJ15:BL15">
    <cfRule type="cellIs" dxfId="347" priority="212" operator="greaterThan">
      <formula>$B$14</formula>
    </cfRule>
  </conditionalFormatting>
  <conditionalFormatting sqref="BF16">
    <cfRule type="cellIs" dxfId="346" priority="211" operator="greaterThan">
      <formula>$B$17</formula>
    </cfRule>
  </conditionalFormatting>
  <conditionalFormatting sqref="BH16 BJ16:BL16">
    <cfRule type="cellIs" dxfId="345" priority="210" operator="greaterThan">
      <formula>$B$17</formula>
    </cfRule>
  </conditionalFormatting>
  <conditionalFormatting sqref="BE16">
    <cfRule type="cellIs" dxfId="344" priority="209" operator="greaterThan">
      <formula>$B$14</formula>
    </cfRule>
  </conditionalFormatting>
  <conditionalFormatting sqref="BG16">
    <cfRule type="cellIs" dxfId="343" priority="208" operator="greaterThan">
      <formula>$B$14</formula>
    </cfRule>
  </conditionalFormatting>
  <conditionalFormatting sqref="BH17 BJ17:BL17">
    <cfRule type="cellIs" dxfId="342" priority="207" operator="greaterThan">
      <formula>$B$17</formula>
    </cfRule>
  </conditionalFormatting>
  <conditionalFormatting sqref="BH18 BJ18:BL18">
    <cfRule type="cellIs" dxfId="341" priority="205" operator="greaterThan">
      <formula>$B$17</formula>
    </cfRule>
  </conditionalFormatting>
  <conditionalFormatting sqref="BC19:BH19 BJ19:BL19">
    <cfRule type="cellIs" dxfId="340" priority="204" operator="greaterThan">
      <formula>$B$14</formula>
    </cfRule>
  </conditionalFormatting>
  <conditionalFormatting sqref="BE20:BH21 BJ20:BL21">
    <cfRule type="cellIs" dxfId="339" priority="203" operator="greaterThan">
      <formula>$B$14</formula>
    </cfRule>
  </conditionalFormatting>
  <conditionalFormatting sqref="BD20">
    <cfRule type="cellIs" dxfId="338" priority="202" operator="greaterThan">
      <formula>$B$17</formula>
    </cfRule>
  </conditionalFormatting>
  <conditionalFormatting sqref="BC20:BC21">
    <cfRule type="cellIs" dxfId="337" priority="201" operator="greaterThan">
      <formula>$B$14</formula>
    </cfRule>
  </conditionalFormatting>
  <conditionalFormatting sqref="BD21">
    <cfRule type="cellIs" dxfId="336" priority="200" operator="greaterThan">
      <formula>$B$14</formula>
    </cfRule>
  </conditionalFormatting>
  <conditionalFormatting sqref="BF22:BH22 BJ22:BL22">
    <cfRule type="cellIs" dxfId="335" priority="199" operator="greaterThan">
      <formula>$B$14</formula>
    </cfRule>
  </conditionalFormatting>
  <conditionalFormatting sqref="BC22:BE22">
    <cfRule type="cellIs" dxfId="334" priority="198" operator="greaterThan">
      <formula>$B$17</formula>
    </cfRule>
  </conditionalFormatting>
  <conditionalFormatting sqref="BC24:BE24">
    <cfRule type="cellIs" dxfId="333" priority="197" operator="greaterThan">
      <formula>$B$17</formula>
    </cfRule>
  </conditionalFormatting>
  <conditionalFormatting sqref="BC27:BH27 BJ27:BL27">
    <cfRule type="cellIs" dxfId="332" priority="196" operator="greaterThan">
      <formula>$B$14</formula>
    </cfRule>
  </conditionalFormatting>
  <conditionalFormatting sqref="BC28:BH28 BJ28:BL28">
    <cfRule type="cellIs" dxfId="331" priority="195" operator="greaterThan">
      <formula>$B$17</formula>
    </cfRule>
  </conditionalFormatting>
  <conditionalFormatting sqref="BC30:BD30">
    <cfRule type="cellIs" dxfId="330" priority="194" operator="greaterThan">
      <formula>$B$17</formula>
    </cfRule>
  </conditionalFormatting>
  <conditionalFormatting sqref="BE30:BH30 BJ30:BL30">
    <cfRule type="cellIs" dxfId="329" priority="193" operator="greaterThan">
      <formula>$B$14</formula>
    </cfRule>
  </conditionalFormatting>
  <conditionalFormatting sqref="BC25:BD25">
    <cfRule type="cellIs" dxfId="328" priority="192" operator="greaterThan">
      <formula>$B$17</formula>
    </cfRule>
  </conditionalFormatting>
  <conditionalFormatting sqref="BF24:BH26 BJ24:BL26">
    <cfRule type="cellIs" dxfId="327" priority="191" operator="greaterThan">
      <formula>$B$14</formula>
    </cfRule>
  </conditionalFormatting>
  <conditionalFormatting sqref="BE25:BE26">
    <cfRule type="cellIs" dxfId="326" priority="190" operator="greaterThan">
      <formula>$B$14</formula>
    </cfRule>
  </conditionalFormatting>
  <conditionalFormatting sqref="BC26:BD26">
    <cfRule type="cellIs" dxfId="325" priority="189" operator="greaterThan">
      <formula>$B$14</formula>
    </cfRule>
  </conditionalFormatting>
  <conditionalFormatting sqref="BS15:BS16 BU15:BW16">
    <cfRule type="cellIs" dxfId="324" priority="188" operator="greaterThan">
      <formula>$B$14</formula>
    </cfRule>
  </conditionalFormatting>
  <conditionalFormatting sqref="BR15:BR16">
    <cfRule type="cellIs" dxfId="323" priority="187" operator="greaterThan">
      <formula>$B$14</formula>
    </cfRule>
  </conditionalFormatting>
  <conditionalFormatting sqref="BN15:BQ15">
    <cfRule type="cellIs" dxfId="322" priority="186" operator="greaterThan">
      <formula>$B$17</formula>
    </cfRule>
  </conditionalFormatting>
  <conditionalFormatting sqref="BN16:BO16">
    <cfRule type="cellIs" dxfId="321" priority="185" operator="greaterThan">
      <formula>$B$17</formula>
    </cfRule>
  </conditionalFormatting>
  <conditionalFormatting sqref="BN17:BR18">
    <cfRule type="cellIs" dxfId="320" priority="184" operator="greaterThan">
      <formula>$B$17</formula>
    </cfRule>
  </conditionalFormatting>
  <conditionalFormatting sqref="BO20">
    <cfRule type="cellIs" dxfId="319" priority="183" operator="greaterThan">
      <formula>$B$17</formula>
    </cfRule>
  </conditionalFormatting>
  <conditionalFormatting sqref="BN22:BP22">
    <cfRule type="cellIs" dxfId="318" priority="182" operator="greaterThan">
      <formula>$B$17</formula>
    </cfRule>
  </conditionalFormatting>
  <conditionalFormatting sqref="BN24:BP24">
    <cfRule type="cellIs" dxfId="317" priority="181" operator="greaterThan">
      <formula>$B$17</formula>
    </cfRule>
  </conditionalFormatting>
  <conditionalFormatting sqref="BN25:BO25">
    <cfRule type="cellIs" dxfId="316" priority="180" operator="greaterThan">
      <formula>$B$17</formula>
    </cfRule>
  </conditionalFormatting>
  <conditionalFormatting sqref="BN28:BQ28">
    <cfRule type="cellIs" dxfId="315" priority="179" operator="greaterThan">
      <formula>$B$17</formula>
    </cfRule>
  </conditionalFormatting>
  <conditionalFormatting sqref="BN30:BO30">
    <cfRule type="cellIs" dxfId="314" priority="178" operator="greaterThan">
      <formula>$B$17</formula>
    </cfRule>
  </conditionalFormatting>
  <conditionalFormatting sqref="BP30:BS30">
    <cfRule type="cellIs" dxfId="313" priority="177" operator="greaterThan">
      <formula>$B$14</formula>
    </cfRule>
  </conditionalFormatting>
  <conditionalFormatting sqref="BN19:BR19">
    <cfRule type="cellIs" dxfId="312" priority="176" operator="greaterThan">
      <formula>$B$14</formula>
    </cfRule>
  </conditionalFormatting>
  <conditionalFormatting sqref="BN20:BN21">
    <cfRule type="cellIs" dxfId="311" priority="175" operator="greaterThan">
      <formula>$B$14</formula>
    </cfRule>
  </conditionalFormatting>
  <conditionalFormatting sqref="BO21:BS21">
    <cfRule type="cellIs" dxfId="310" priority="174" operator="greaterThan">
      <formula>$B$14</formula>
    </cfRule>
  </conditionalFormatting>
  <conditionalFormatting sqref="BP20:BS20">
    <cfRule type="cellIs" dxfId="309" priority="173" operator="greaterThan">
      <formula>$B$14</formula>
    </cfRule>
  </conditionalFormatting>
  <conditionalFormatting sqref="BQ22">
    <cfRule type="cellIs" dxfId="308" priority="172" operator="greaterThan">
      <formula>$B$14</formula>
    </cfRule>
  </conditionalFormatting>
  <conditionalFormatting sqref="BR22">
    <cfRule type="cellIs" dxfId="307" priority="171" operator="greaterThan">
      <formula>$B$17</formula>
    </cfRule>
  </conditionalFormatting>
  <conditionalFormatting sqref="BS22">
    <cfRule type="cellIs" dxfId="306" priority="170" operator="greaterThan">
      <formula>$B$17</formula>
    </cfRule>
  </conditionalFormatting>
  <conditionalFormatting sqref="BN26:BS27">
    <cfRule type="cellIs" dxfId="305" priority="169" operator="greaterThan">
      <formula>$B$14</formula>
    </cfRule>
  </conditionalFormatting>
  <conditionalFormatting sqref="BQ24">
    <cfRule type="cellIs" dxfId="304" priority="168" operator="greaterThan">
      <formula>$B$14</formula>
    </cfRule>
  </conditionalFormatting>
  <conditionalFormatting sqref="BR24:BS24">
    <cfRule type="cellIs" dxfId="303" priority="167" operator="greaterThan">
      <formula>$B$17</formula>
    </cfRule>
  </conditionalFormatting>
  <conditionalFormatting sqref="BQ25:BS25">
    <cfRule type="cellIs" dxfId="302" priority="166" operator="greaterThan">
      <formula>$B$17</formula>
    </cfRule>
  </conditionalFormatting>
  <conditionalFormatting sqref="BP25">
    <cfRule type="cellIs" dxfId="301" priority="165" operator="greaterThan">
      <formula>$B$14</formula>
    </cfRule>
  </conditionalFormatting>
  <conditionalFormatting sqref="BR28">
    <cfRule type="cellIs" dxfId="300" priority="164" operator="greaterThan">
      <formula>$B$17</formula>
    </cfRule>
  </conditionalFormatting>
  <conditionalFormatting sqref="BS28">
    <cfRule type="cellIs" dxfId="299" priority="163" operator="greaterThan">
      <formula>$B$14</formula>
    </cfRule>
  </conditionalFormatting>
  <conditionalFormatting sqref="BU19:BW19">
    <cfRule type="cellIs" dxfId="298" priority="160" operator="greaterThan">
      <formula>$C$19</formula>
    </cfRule>
  </conditionalFormatting>
  <conditionalFormatting sqref="BU37:BW42">
    <cfRule type="cellIs" dxfId="297" priority="159" operator="greaterThan">
      <formula>$B$38</formula>
    </cfRule>
  </conditionalFormatting>
  <conditionalFormatting sqref="BU27:BW27">
    <cfRule type="cellIs" dxfId="296" priority="152" operator="greaterThan">
      <formula>$B$14</formula>
    </cfRule>
  </conditionalFormatting>
  <conditionalFormatting sqref="BU30:BW30">
    <cfRule type="cellIs" dxfId="295" priority="156" operator="greaterThan">
      <formula>$B$14</formula>
    </cfRule>
  </conditionalFormatting>
  <conditionalFormatting sqref="BU21:BW21">
    <cfRule type="cellIs" dxfId="294" priority="155" operator="greaterThan">
      <formula>$B$14</formula>
    </cfRule>
  </conditionalFormatting>
  <conditionalFormatting sqref="BU20:BW20">
    <cfRule type="cellIs" dxfId="293" priority="154" operator="greaterThan">
      <formula>$B$14</formula>
    </cfRule>
  </conditionalFormatting>
  <conditionalFormatting sqref="I17:J17 L17">
    <cfRule type="cellIs" dxfId="292" priority="148" operator="greaterThan">
      <formula>$D$17</formula>
    </cfRule>
  </conditionalFormatting>
  <conditionalFormatting sqref="AG15:AI15">
    <cfRule type="cellIs" dxfId="291" priority="146" operator="greaterThan">
      <formula>$B$17</formula>
    </cfRule>
  </conditionalFormatting>
  <conditionalFormatting sqref="AY15:BA15">
    <cfRule type="cellIs" dxfId="290" priority="141" operator="greaterThan">
      <formula>$B$17</formula>
    </cfRule>
  </conditionalFormatting>
  <conditionalFormatting sqref="AY16:BA16">
    <cfRule type="cellIs" dxfId="289" priority="140" operator="greaterThan">
      <formula>$B$17</formula>
    </cfRule>
  </conditionalFormatting>
  <conditionalFormatting sqref="AV16">
    <cfRule type="cellIs" dxfId="288" priority="139" operator="greaterThan">
      <formula>$B$14</formula>
    </cfRule>
  </conditionalFormatting>
  <conditionalFormatting sqref="AY20:BA20">
    <cfRule type="cellIs" dxfId="287" priority="138" operator="greaterThan">
      <formula>$B$14</formula>
    </cfRule>
  </conditionalFormatting>
  <conditionalFormatting sqref="AW19:AW26">
    <cfRule type="cellIs" dxfId="286" priority="137" operator="greaterThan">
      <formula>$B$14</formula>
    </cfRule>
  </conditionalFormatting>
  <conditionalFormatting sqref="AY27:BA27">
    <cfRule type="cellIs" dxfId="285" priority="136" operator="greaterThan">
      <formula>$B$14</formula>
    </cfRule>
  </conditionalFormatting>
  <conditionalFormatting sqref="BC23:BH23 BJ23:BL23">
    <cfRule type="cellIs" dxfId="284" priority="135" operator="greaterThan">
      <formula>$B$14</formula>
    </cfRule>
  </conditionalFormatting>
  <conditionalFormatting sqref="BJ37:BL37">
    <cfRule type="cellIs" dxfId="283" priority="134" operator="greaterThan">
      <formula>$B$37</formula>
    </cfRule>
  </conditionalFormatting>
  <conditionalFormatting sqref="BS17">
    <cfRule type="cellIs" dxfId="282" priority="133" operator="greaterThan">
      <formula>$B$17</formula>
    </cfRule>
  </conditionalFormatting>
  <conditionalFormatting sqref="BU17:BW17">
    <cfRule type="cellIs" dxfId="281" priority="132" operator="greaterThan">
      <formula>$B$17</formula>
    </cfRule>
  </conditionalFormatting>
  <conditionalFormatting sqref="BU18:BW18">
    <cfRule type="cellIs" dxfId="280" priority="131" operator="greaterThan">
      <formula>$B$17</formula>
    </cfRule>
  </conditionalFormatting>
  <conditionalFormatting sqref="BU22:BW22">
    <cfRule type="cellIs" dxfId="279" priority="130" operator="greaterThan">
      <formula>$B$14</formula>
    </cfRule>
  </conditionalFormatting>
  <conditionalFormatting sqref="BU23:BW26">
    <cfRule type="cellIs" dxfId="278" priority="129" operator="greaterThan">
      <formula>$B$14</formula>
    </cfRule>
  </conditionalFormatting>
  <conditionalFormatting sqref="BU28:BW28">
    <cfRule type="cellIs" dxfId="277" priority="128" operator="greaterThan">
      <formula>$B$17</formula>
    </cfRule>
  </conditionalFormatting>
  <conditionalFormatting sqref="K16:L16">
    <cfRule type="cellIs" dxfId="276" priority="127" operator="greaterThan">
      <formula>$D$17</formula>
    </cfRule>
  </conditionalFormatting>
  <conditionalFormatting sqref="K18:L18">
    <cfRule type="cellIs" dxfId="275" priority="126" operator="greaterThan">
      <formula>$D$19</formula>
    </cfRule>
  </conditionalFormatting>
  <conditionalFormatting sqref="K28:L28">
    <cfRule type="cellIs" dxfId="274" priority="125" operator="greaterThan">
      <formula>$D$29</formula>
    </cfRule>
  </conditionalFormatting>
  <conditionalFormatting sqref="K30:L30">
    <cfRule type="cellIs" dxfId="273" priority="124" operator="greaterThan">
      <formula>$D$31</formula>
    </cfRule>
  </conditionalFormatting>
  <conditionalFormatting sqref="L18">
    <cfRule type="cellIs" dxfId="272" priority="122" operator="greaterThan">
      <formula>$D$17</formula>
    </cfRule>
  </conditionalFormatting>
  <conditionalFormatting sqref="K17:L17">
    <cfRule type="cellIs" dxfId="271" priority="121" operator="greaterThan">
      <formula>$D$17</formula>
    </cfRule>
  </conditionalFormatting>
  <conditionalFormatting sqref="Z19">
    <cfRule type="cellIs" dxfId="270" priority="112" operator="greaterThan">
      <formula>$B$15</formula>
    </cfRule>
  </conditionalFormatting>
  <conditionalFormatting sqref="Z14 Z18">
    <cfRule type="cellIs" dxfId="269" priority="106" operator="greaterThan">
      <formula>$B$15</formula>
    </cfRule>
  </conditionalFormatting>
  <conditionalFormatting sqref="AM38:AM39">
    <cfRule type="cellIs" dxfId="268" priority="105" operator="greaterThan">
      <formula>$B$38</formula>
    </cfRule>
  </conditionalFormatting>
  <conditionalFormatting sqref="AM14">
    <cfRule type="cellIs" dxfId="267" priority="104" operator="greaterThan">
      <formula>$B$14</formula>
    </cfRule>
  </conditionalFormatting>
  <conditionalFormatting sqref="AM16">
    <cfRule type="cellIs" dxfId="266" priority="103" operator="greaterThan">
      <formula>$C$16</formula>
    </cfRule>
  </conditionalFormatting>
  <conditionalFormatting sqref="AM18">
    <cfRule type="cellIs" dxfId="265" priority="102" operator="greaterThan">
      <formula>$C$18</formula>
    </cfRule>
  </conditionalFormatting>
  <conditionalFormatting sqref="AM28">
    <cfRule type="cellIs" dxfId="264" priority="101" operator="greaterThan">
      <formula>$C$28</formula>
    </cfRule>
  </conditionalFormatting>
  <conditionalFormatting sqref="AM15">
    <cfRule type="cellIs" dxfId="263" priority="100" operator="greaterThan">
      <formula>$B$17</formula>
    </cfRule>
  </conditionalFormatting>
  <conditionalFormatting sqref="AM17">
    <cfRule type="cellIs" dxfId="262" priority="99" operator="greaterThan">
      <formula>$C$16</formula>
    </cfRule>
  </conditionalFormatting>
  <conditionalFormatting sqref="AM30">
    <cfRule type="cellIs" dxfId="261" priority="98" operator="greaterThan">
      <formula>$C$30</formula>
    </cfRule>
  </conditionalFormatting>
  <conditionalFormatting sqref="AM37">
    <cfRule type="cellIs" dxfId="260" priority="97" operator="greaterThan">
      <formula>$B$37</formula>
    </cfRule>
  </conditionalFormatting>
  <conditionalFormatting sqref="AN37:AP37">
    <cfRule type="cellIs" dxfId="259" priority="96" operator="greaterThan">
      <formula>$B$38</formula>
    </cfRule>
  </conditionalFormatting>
  <conditionalFormatting sqref="AN38:AP39">
    <cfRule type="cellIs" dxfId="258" priority="95" operator="greaterThan">
      <formula>$B$38</formula>
    </cfRule>
  </conditionalFormatting>
  <conditionalFormatting sqref="AN30:AP30">
    <cfRule type="cellIs" dxfId="257" priority="94" operator="greaterThan">
      <formula>$D$31</formula>
    </cfRule>
  </conditionalFormatting>
  <conditionalFormatting sqref="AX19 AX21:AX26 AX14">
    <cfRule type="cellIs" dxfId="256" priority="93" operator="greaterThan">
      <formula>$B$14</formula>
    </cfRule>
  </conditionalFormatting>
  <conditionalFormatting sqref="AX17:AX18 AX28">
    <cfRule type="cellIs" dxfId="255" priority="92" operator="greaterThan">
      <formula>$B$17</formula>
    </cfRule>
  </conditionalFormatting>
  <conditionalFormatting sqref="AX37">
    <cfRule type="cellIs" dxfId="254" priority="91" operator="greaterThan">
      <formula>$B$37</formula>
    </cfRule>
  </conditionalFormatting>
  <conditionalFormatting sqref="AX15">
    <cfRule type="cellIs" dxfId="253" priority="90" operator="greaterThan">
      <formula>$B$17</formula>
    </cfRule>
  </conditionalFormatting>
  <conditionalFormatting sqref="AX16">
    <cfRule type="cellIs" dxfId="252" priority="89" operator="greaterThan">
      <formula>$B$17</formula>
    </cfRule>
  </conditionalFormatting>
  <conditionalFormatting sqref="AX20">
    <cfRule type="cellIs" dxfId="251" priority="88" operator="greaterThan">
      <formula>$B$14</formula>
    </cfRule>
  </conditionalFormatting>
  <conditionalFormatting sqref="AX27">
    <cfRule type="cellIs" dxfId="250" priority="87" operator="greaterThan">
      <formula>$B$14</formula>
    </cfRule>
  </conditionalFormatting>
  <conditionalFormatting sqref="AU37:AV37">
    <cfRule type="cellIs" dxfId="249" priority="85" operator="greaterThan">
      <formula>$B$37</formula>
    </cfRule>
  </conditionalFormatting>
  <conditionalFormatting sqref="AY37:BA37">
    <cfRule type="cellIs" dxfId="248" priority="84" operator="greaterThan">
      <formula>$B$37</formula>
    </cfRule>
  </conditionalFormatting>
  <conditionalFormatting sqref="AX30:BA30">
    <cfRule type="cellIs" dxfId="247" priority="83" operator="greaterThan">
      <formula>$B$14</formula>
    </cfRule>
  </conditionalFormatting>
  <conditionalFormatting sqref="BI14">
    <cfRule type="cellIs" dxfId="246" priority="82" operator="greaterThan">
      <formula>$B$14</formula>
    </cfRule>
  </conditionalFormatting>
  <conditionalFormatting sqref="BI15">
    <cfRule type="cellIs" dxfId="245" priority="81" operator="greaterThan">
      <formula>$B$14</formula>
    </cfRule>
  </conditionalFormatting>
  <conditionalFormatting sqref="BI16">
    <cfRule type="cellIs" dxfId="244" priority="80" operator="greaterThan">
      <formula>$B$17</formula>
    </cfRule>
  </conditionalFormatting>
  <conditionalFormatting sqref="BI17">
    <cfRule type="cellIs" dxfId="243" priority="79" operator="greaterThan">
      <formula>$B$17</formula>
    </cfRule>
  </conditionalFormatting>
  <conditionalFormatting sqref="BI18">
    <cfRule type="cellIs" dxfId="242" priority="78" operator="greaterThan">
      <formula>$B$17</formula>
    </cfRule>
  </conditionalFormatting>
  <conditionalFormatting sqref="BI19">
    <cfRule type="cellIs" dxfId="241" priority="77" operator="greaterThan">
      <formula>$B$14</formula>
    </cfRule>
  </conditionalFormatting>
  <conditionalFormatting sqref="BI20:BI21">
    <cfRule type="cellIs" dxfId="240" priority="76" operator="greaterThan">
      <formula>$B$14</formula>
    </cfRule>
  </conditionalFormatting>
  <conditionalFormatting sqref="BI22">
    <cfRule type="cellIs" dxfId="239" priority="75" operator="greaterThan">
      <formula>$B$14</formula>
    </cfRule>
  </conditionalFormatting>
  <conditionalFormatting sqref="BI27">
    <cfRule type="cellIs" dxfId="238" priority="74" operator="greaterThan">
      <formula>$B$14</formula>
    </cfRule>
  </conditionalFormatting>
  <conditionalFormatting sqref="BI28">
    <cfRule type="cellIs" dxfId="237" priority="73" operator="greaterThan">
      <formula>$B$17</formula>
    </cfRule>
  </conditionalFormatting>
  <conditionalFormatting sqref="BI30">
    <cfRule type="cellIs" dxfId="236" priority="72" operator="greaterThan">
      <formula>$B$14</formula>
    </cfRule>
  </conditionalFormatting>
  <conditionalFormatting sqref="BI24:BI26">
    <cfRule type="cellIs" dxfId="235" priority="71" operator="greaterThan">
      <formula>$B$14</formula>
    </cfRule>
  </conditionalFormatting>
  <conditionalFormatting sqref="BI23">
    <cfRule type="cellIs" dxfId="234" priority="70" operator="greaterThan">
      <formula>$B$14</formula>
    </cfRule>
  </conditionalFormatting>
  <conditionalFormatting sqref="BI38:BI39">
    <cfRule type="cellIs" dxfId="233" priority="69" operator="greaterThan">
      <formula>$B$37</formula>
    </cfRule>
  </conditionalFormatting>
  <conditionalFormatting sqref="BI37">
    <cfRule type="cellIs" dxfId="232" priority="68" operator="greaterThan">
      <formula>$B$37</formula>
    </cfRule>
  </conditionalFormatting>
  <conditionalFormatting sqref="BT14">
    <cfRule type="cellIs" dxfId="231" priority="67" operator="greaterThan">
      <formula>$B$14</formula>
    </cfRule>
  </conditionalFormatting>
  <conditionalFormatting sqref="BT15:BT16">
    <cfRule type="cellIs" dxfId="230" priority="66" operator="greaterThan">
      <formula>$B$14</formula>
    </cfRule>
  </conditionalFormatting>
  <conditionalFormatting sqref="BT19">
    <cfRule type="cellIs" dxfId="229" priority="65" operator="greaterThan">
      <formula>$C$19</formula>
    </cfRule>
  </conditionalFormatting>
  <conditionalFormatting sqref="BT37:BT42">
    <cfRule type="cellIs" dxfId="228" priority="64" operator="greaterThan">
      <formula>$B$38</formula>
    </cfRule>
  </conditionalFormatting>
  <conditionalFormatting sqref="BT27">
    <cfRule type="cellIs" dxfId="227" priority="60" operator="greaterThan">
      <formula>$B$14</formula>
    </cfRule>
  </conditionalFormatting>
  <conditionalFormatting sqref="BT30">
    <cfRule type="cellIs" dxfId="226" priority="63" operator="greaterThan">
      <formula>$B$14</formula>
    </cfRule>
  </conditionalFormatting>
  <conditionalFormatting sqref="BT21">
    <cfRule type="cellIs" dxfId="225" priority="62" operator="greaterThan">
      <formula>$B$14</formula>
    </cfRule>
  </conditionalFormatting>
  <conditionalFormatting sqref="BT20">
    <cfRule type="cellIs" dxfId="224" priority="61" operator="greaterThan">
      <formula>$B$14</formula>
    </cfRule>
  </conditionalFormatting>
  <conditionalFormatting sqref="BT17">
    <cfRule type="cellIs" dxfId="223" priority="59" operator="greaterThan">
      <formula>$B$17</formula>
    </cfRule>
  </conditionalFormatting>
  <conditionalFormatting sqref="BT18">
    <cfRule type="cellIs" dxfId="222" priority="58" operator="greaterThan">
      <formula>$B$17</formula>
    </cfRule>
  </conditionalFormatting>
  <conditionalFormatting sqref="BT22">
    <cfRule type="cellIs" dxfId="221" priority="57" operator="greaterThan">
      <formula>$B$14</formula>
    </cfRule>
  </conditionalFormatting>
  <conditionalFormatting sqref="BT23:BT26">
    <cfRule type="cellIs" dxfId="220" priority="56" operator="greaterThan">
      <formula>$B$14</formula>
    </cfRule>
  </conditionalFormatting>
  <conditionalFormatting sqref="H17:N17 P17:AB17 AD17:AP17 AR17:BA17 BC17:BL17 BN17:BW17">
    <cfRule type="cellIs" dxfId="219" priority="55" operator="greaterThan">
      <formula>$B$17</formula>
    </cfRule>
  </conditionalFormatting>
  <conditionalFormatting sqref="O17">
    <cfRule type="cellIs" dxfId="218" priority="53" operator="greaterThan">
      <formula>$B$17</formula>
    </cfRule>
  </conditionalFormatting>
  <conditionalFormatting sqref="AC14:AC16">
    <cfRule type="cellIs" dxfId="217" priority="52" operator="greaterThan">
      <formula>$C$16</formula>
    </cfRule>
  </conditionalFormatting>
  <conditionalFormatting sqref="AC17">
    <cfRule type="cellIs" dxfId="216" priority="51" operator="greaterThan">
      <formula>$B$17</formula>
    </cfRule>
  </conditionalFormatting>
  <conditionalFormatting sqref="AC18">
    <cfRule type="cellIs" dxfId="215" priority="50" operator="greaterThan">
      <formula>$C$18</formula>
    </cfRule>
  </conditionalFormatting>
  <conditionalFormatting sqref="AC28">
    <cfRule type="cellIs" dxfId="214" priority="49" operator="greaterThan">
      <formula>$C$28</formula>
    </cfRule>
  </conditionalFormatting>
  <conditionalFormatting sqref="AC30">
    <cfRule type="cellIs" dxfId="213" priority="48" operator="greaterThan">
      <formula>$D$31</formula>
    </cfRule>
  </conditionalFormatting>
  <conditionalFormatting sqref="AC17">
    <cfRule type="cellIs" dxfId="212" priority="47" operator="greaterThan">
      <formula>$B$17</formula>
    </cfRule>
  </conditionalFormatting>
  <conditionalFormatting sqref="AQ14">
    <cfRule type="cellIs" dxfId="211" priority="46" operator="greaterThan">
      <formula>$B$14</formula>
    </cfRule>
  </conditionalFormatting>
  <conditionalFormatting sqref="AQ16">
    <cfRule type="cellIs" dxfId="210" priority="45" operator="greaterThan">
      <formula>$C$16</formula>
    </cfRule>
  </conditionalFormatting>
  <conditionalFormatting sqref="AQ28">
    <cfRule type="cellIs" dxfId="209" priority="44" operator="greaterThan">
      <formula>$C$28</formula>
    </cfRule>
  </conditionalFormatting>
  <conditionalFormatting sqref="AQ37">
    <cfRule type="cellIs" dxfId="208" priority="43" operator="greaterThan">
      <formula>$B$38</formula>
    </cfRule>
  </conditionalFormatting>
  <conditionalFormatting sqref="AQ38:AQ39">
    <cfRule type="cellIs" dxfId="207" priority="42" operator="greaterThan">
      <formula>$B$38</formula>
    </cfRule>
  </conditionalFormatting>
  <conditionalFormatting sqref="AQ30">
    <cfRule type="cellIs" dxfId="206" priority="41" operator="greaterThan">
      <formula>$D$31</formula>
    </cfRule>
  </conditionalFormatting>
  <conditionalFormatting sqref="AQ17">
    <cfRule type="cellIs" dxfId="205" priority="40" operator="greaterThan">
      <formula>$B$17</formula>
    </cfRule>
  </conditionalFormatting>
  <conditionalFormatting sqref="BB19 BB14 BB21:BB26">
    <cfRule type="cellIs" dxfId="204" priority="39" operator="greaterThan">
      <formula>$B$14</formula>
    </cfRule>
  </conditionalFormatting>
  <conditionalFormatting sqref="BB28 BB17:BB18">
    <cfRule type="cellIs" dxfId="203" priority="38" operator="greaterThan">
      <formula>$B$17</formula>
    </cfRule>
  </conditionalFormatting>
  <conditionalFormatting sqref="BB15">
    <cfRule type="cellIs" dxfId="202" priority="37" operator="greaterThan">
      <formula>$B$17</formula>
    </cfRule>
  </conditionalFormatting>
  <conditionalFormatting sqref="BB16">
    <cfRule type="cellIs" dxfId="201" priority="36" operator="greaterThan">
      <formula>$B$17</formula>
    </cfRule>
  </conditionalFormatting>
  <conditionalFormatting sqref="BB20">
    <cfRule type="cellIs" dxfId="200" priority="35" operator="greaterThan">
      <formula>$B$14</formula>
    </cfRule>
  </conditionalFormatting>
  <conditionalFormatting sqref="BB27">
    <cfRule type="cellIs" dxfId="199" priority="34" operator="greaterThan">
      <formula>$B$14</formula>
    </cfRule>
  </conditionalFormatting>
  <conditionalFormatting sqref="BB37">
    <cfRule type="cellIs" dxfId="198" priority="33" operator="greaterThan">
      <formula>$B$37</formula>
    </cfRule>
  </conditionalFormatting>
  <conditionalFormatting sqref="BB30">
    <cfRule type="cellIs" dxfId="197" priority="32" operator="greaterThan">
      <formula>$B$14</formula>
    </cfRule>
  </conditionalFormatting>
  <conditionalFormatting sqref="BB17">
    <cfRule type="cellIs" dxfId="196" priority="31" operator="greaterThan">
      <formula>$B$17</formula>
    </cfRule>
  </conditionalFormatting>
  <conditionalFormatting sqref="BM38:BM39">
    <cfRule type="cellIs" dxfId="195" priority="30" operator="greaterThan">
      <formula>$B$37</formula>
    </cfRule>
  </conditionalFormatting>
  <conditionalFormatting sqref="BM14">
    <cfRule type="cellIs" dxfId="194" priority="29" operator="greaterThan">
      <formula>$B$14</formula>
    </cfRule>
  </conditionalFormatting>
  <conditionalFormatting sqref="BM15">
    <cfRule type="cellIs" dxfId="193" priority="28" operator="greaterThan">
      <formula>$B$14</formula>
    </cfRule>
  </conditionalFormatting>
  <conditionalFormatting sqref="BM16">
    <cfRule type="cellIs" dxfId="192" priority="27" operator="greaterThan">
      <formula>$B$17</formula>
    </cfRule>
  </conditionalFormatting>
  <conditionalFormatting sqref="BM17">
    <cfRule type="cellIs" dxfId="191" priority="26" operator="greaterThan">
      <formula>$B$17</formula>
    </cfRule>
  </conditionalFormatting>
  <conditionalFormatting sqref="BM18">
    <cfRule type="cellIs" dxfId="190" priority="25" operator="greaterThan">
      <formula>$B$17</formula>
    </cfRule>
  </conditionalFormatting>
  <conditionalFormatting sqref="BM19">
    <cfRule type="cellIs" dxfId="189" priority="24" operator="greaterThan">
      <formula>$B$14</formula>
    </cfRule>
  </conditionalFormatting>
  <conditionalFormatting sqref="BM20:BM21">
    <cfRule type="cellIs" dxfId="188" priority="23" operator="greaterThan">
      <formula>$B$14</formula>
    </cfRule>
  </conditionalFormatting>
  <conditionalFormatting sqref="BM22">
    <cfRule type="cellIs" dxfId="187" priority="22" operator="greaterThan">
      <formula>$B$14</formula>
    </cfRule>
  </conditionalFormatting>
  <conditionalFormatting sqref="BM27">
    <cfRule type="cellIs" dxfId="186" priority="21" operator="greaterThan">
      <formula>$B$14</formula>
    </cfRule>
  </conditionalFormatting>
  <conditionalFormatting sqref="BM28">
    <cfRule type="cellIs" dxfId="185" priority="20" operator="greaterThan">
      <formula>$B$17</formula>
    </cfRule>
  </conditionalFormatting>
  <conditionalFormatting sqref="BM30">
    <cfRule type="cellIs" dxfId="184" priority="19" operator="greaterThan">
      <formula>$B$14</formula>
    </cfRule>
  </conditionalFormatting>
  <conditionalFormatting sqref="BM24:BM26">
    <cfRule type="cellIs" dxfId="183" priority="18" operator="greaterThan">
      <formula>$B$14</formula>
    </cfRule>
  </conditionalFormatting>
  <conditionalFormatting sqref="BM23">
    <cfRule type="cellIs" dxfId="182" priority="17" operator="greaterThan">
      <formula>$B$14</formula>
    </cfRule>
  </conditionalFormatting>
  <conditionalFormatting sqref="BM37">
    <cfRule type="cellIs" dxfId="181" priority="16" operator="greaterThan">
      <formula>$B$37</formula>
    </cfRule>
  </conditionalFormatting>
  <conditionalFormatting sqref="BM17">
    <cfRule type="cellIs" dxfId="180" priority="15" operator="greaterThan">
      <formula>$B$17</formula>
    </cfRule>
  </conditionalFormatting>
  <conditionalFormatting sqref="BX14">
    <cfRule type="cellIs" dxfId="179" priority="14" operator="greaterThan">
      <formula>$B$14</formula>
    </cfRule>
  </conditionalFormatting>
  <conditionalFormatting sqref="BX15:BX16">
    <cfRule type="cellIs" dxfId="178" priority="13" operator="greaterThan">
      <formula>$B$14</formula>
    </cfRule>
  </conditionalFormatting>
  <conditionalFormatting sqref="BX19">
    <cfRule type="cellIs" dxfId="177" priority="12" operator="greaterThan">
      <formula>$C$19</formula>
    </cfRule>
  </conditionalFormatting>
  <conditionalFormatting sqref="BX37:BX42">
    <cfRule type="cellIs" dxfId="176" priority="11" operator="greaterThan">
      <formula>$B$38</formula>
    </cfRule>
  </conditionalFormatting>
  <conditionalFormatting sqref="BX27">
    <cfRule type="cellIs" dxfId="175" priority="7" operator="greaterThan">
      <formula>$B$14</formula>
    </cfRule>
  </conditionalFormatting>
  <conditionalFormatting sqref="BX30">
    <cfRule type="cellIs" dxfId="174" priority="10" operator="greaterThan">
      <formula>$B$14</formula>
    </cfRule>
  </conditionalFormatting>
  <conditionalFormatting sqref="BX21">
    <cfRule type="cellIs" dxfId="173" priority="9" operator="greaterThan">
      <formula>$B$14</formula>
    </cfRule>
  </conditionalFormatting>
  <conditionalFormatting sqref="BX20">
    <cfRule type="cellIs" dxfId="172" priority="8" operator="greaterThan">
      <formula>$B$14</formula>
    </cfRule>
  </conditionalFormatting>
  <conditionalFormatting sqref="BX17">
    <cfRule type="cellIs" dxfId="171" priority="6" operator="greaterThan">
      <formula>$B$17</formula>
    </cfRule>
  </conditionalFormatting>
  <conditionalFormatting sqref="BX18">
    <cfRule type="cellIs" dxfId="170" priority="5" operator="greaterThan">
      <formula>$B$17</formula>
    </cfRule>
  </conditionalFormatting>
  <conditionalFormatting sqref="BX22">
    <cfRule type="cellIs" dxfId="169" priority="4" operator="greaterThan">
      <formula>$B$14</formula>
    </cfRule>
  </conditionalFormatting>
  <conditionalFormatting sqref="BX23:BX26">
    <cfRule type="cellIs" dxfId="168" priority="3" operator="greaterThan">
      <formula>$B$14</formula>
    </cfRule>
  </conditionalFormatting>
  <conditionalFormatting sqref="BX28">
    <cfRule type="cellIs" dxfId="167" priority="2" operator="greaterThan">
      <formula>$B$17</formula>
    </cfRule>
  </conditionalFormatting>
  <conditionalFormatting sqref="BX17">
    <cfRule type="cellIs" dxfId="166" priority="1" operator="greaterThan">
      <formula>$B$17</formula>
    </cfRule>
  </conditionalFormatting>
  <pageMargins left="0.70866141732283472" right="0.70866141732283472" top="0.74803149606299213" bottom="0.74803149606299213" header="0.31496062992125984" footer="0.31496062992125984"/>
  <pageSetup scale="17" orientation="landscape" r:id="rId1"/>
  <colBreaks count="1" manualBreakCount="1">
    <brk id="43" max="48" man="1"/>
  </colBreak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1DA13-4699-40F2-9458-97E9C099F95E}">
  <dimension ref="A1:CQ64"/>
  <sheetViews>
    <sheetView view="pageBreakPreview" zoomScaleNormal="100" zoomScaleSheetLayoutView="100" workbookViewId="0">
      <selection activeCell="M13" sqref="M13"/>
    </sheetView>
  </sheetViews>
  <sheetFormatPr defaultRowHeight="14.5" x14ac:dyDescent="0.35"/>
  <cols>
    <col min="2" max="2" width="6.453125" customWidth="1"/>
    <col min="3" max="3" width="11" bestFit="1" customWidth="1"/>
    <col min="4" max="4" width="10.54296875" bestFit="1" customWidth="1"/>
    <col min="5" max="5" width="9.54296875" bestFit="1" customWidth="1"/>
    <col min="6" max="6" width="10.54296875" bestFit="1" customWidth="1"/>
    <col min="7" max="7" width="9.453125" bestFit="1" customWidth="1"/>
    <col min="8" max="8" width="10.90625" customWidth="1"/>
    <col min="9" max="10" width="10.54296875" bestFit="1" customWidth="1"/>
    <col min="11" max="11" width="9.453125" customWidth="1"/>
    <col min="12" max="12" width="10.54296875" bestFit="1" customWidth="1"/>
    <col min="13" max="15" width="10.54296875" customWidth="1"/>
    <col min="16" max="16" width="9.453125" bestFit="1" customWidth="1"/>
    <col min="17" max="17" width="10.54296875" bestFit="1" customWidth="1"/>
    <col min="18" max="18" width="9.54296875" bestFit="1" customWidth="1"/>
    <col min="19" max="19" width="10.54296875" bestFit="1" customWidth="1"/>
    <col min="20" max="20" width="9.453125" customWidth="1"/>
    <col min="21" max="21" width="10.54296875" bestFit="1" customWidth="1"/>
    <col min="22" max="23" width="10.54296875" customWidth="1"/>
    <col min="24" max="24" width="6.54296875" customWidth="1"/>
    <col min="26" max="26" width="9.453125" bestFit="1" customWidth="1"/>
    <col min="27" max="27" width="9.54296875" bestFit="1" customWidth="1"/>
    <col min="28" max="28" width="10.54296875" bestFit="1" customWidth="1"/>
    <col min="29" max="29" width="9.54296875" bestFit="1" customWidth="1"/>
    <col min="30" max="30" width="10.54296875" bestFit="1" customWidth="1"/>
    <col min="31" max="31" width="9.453125" bestFit="1" customWidth="1"/>
    <col min="32" max="34" width="10.54296875" bestFit="1" customWidth="1"/>
    <col min="35" max="35" width="9.453125" customWidth="1"/>
    <col min="36" max="36" width="10.54296875" bestFit="1" customWidth="1"/>
    <col min="37" max="39" width="10.54296875" customWidth="1"/>
    <col min="40" max="40" width="9.453125" bestFit="1" customWidth="1"/>
    <col min="41" max="41" width="10.54296875" bestFit="1" customWidth="1"/>
    <col min="42" max="42" width="9.453125" customWidth="1"/>
    <col min="43" max="43" width="10.54296875" bestFit="1" customWidth="1"/>
    <col min="44" max="44" width="9.453125" customWidth="1"/>
    <col min="45" max="45" width="10.54296875" bestFit="1" customWidth="1"/>
    <col min="46" max="47" width="10.54296875" customWidth="1"/>
    <col min="48" max="48" width="6.453125" customWidth="1"/>
    <col min="50" max="50" width="9.453125" bestFit="1" customWidth="1"/>
    <col min="51" max="51" width="10.08984375" bestFit="1" customWidth="1"/>
    <col min="52" max="52" width="11.453125" bestFit="1" customWidth="1"/>
    <col min="53" max="53" width="10.08984375" bestFit="1" customWidth="1"/>
    <col min="54" max="55" width="9.453125" bestFit="1" customWidth="1"/>
    <col min="56" max="56" width="10.54296875" bestFit="1" customWidth="1"/>
    <col min="57" max="57" width="9.453125" customWidth="1"/>
    <col min="58" max="58" width="10.54296875" bestFit="1" customWidth="1"/>
    <col min="59" max="59" width="9.453125" customWidth="1"/>
    <col min="60" max="60" width="10.54296875" bestFit="1" customWidth="1"/>
    <col min="61" max="62" width="10.54296875" customWidth="1"/>
    <col min="63" max="63" width="9.453125" customWidth="1"/>
    <col min="64" max="64" width="9.453125" bestFit="1" customWidth="1"/>
    <col min="65" max="65" width="10.54296875" bestFit="1" customWidth="1"/>
    <col min="66" max="66" width="9.453125" customWidth="1"/>
    <col min="67" max="67" width="10.54296875" bestFit="1" customWidth="1"/>
    <col min="68" max="68" width="9.453125" customWidth="1"/>
    <col min="69" max="69" width="10.54296875" bestFit="1" customWidth="1"/>
    <col min="70" max="71" width="10.54296875" customWidth="1"/>
    <col min="72" max="72" width="9.453125" customWidth="1"/>
    <col min="75" max="75" width="9.90625" bestFit="1" customWidth="1"/>
    <col min="76" max="76" width="10.08984375" customWidth="1"/>
    <col min="77" max="77" width="9.54296875" bestFit="1" customWidth="1"/>
    <col min="78" max="78" width="9.453125" customWidth="1"/>
    <col min="79" max="79" width="9.54296875" bestFit="1" customWidth="1"/>
    <col min="80" max="80" width="10.54296875" bestFit="1" customWidth="1"/>
    <col min="81" max="81" width="9.54296875" bestFit="1" customWidth="1"/>
    <col min="82" max="82" width="10.54296875" bestFit="1" customWidth="1"/>
    <col min="83" max="83" width="9.54296875" bestFit="1" customWidth="1"/>
    <col min="84" max="84" width="10.54296875" bestFit="1" customWidth="1"/>
    <col min="85" max="86" width="10.54296875" customWidth="1"/>
    <col min="88" max="88" width="18.90625" bestFit="1" customWidth="1"/>
    <col min="89" max="89" width="10.54296875" bestFit="1" customWidth="1"/>
    <col min="90" max="90" width="9.54296875" bestFit="1" customWidth="1"/>
    <col min="91" max="91" width="10.54296875" bestFit="1" customWidth="1"/>
    <col min="92" max="92" width="10.08984375" customWidth="1"/>
    <col min="93" max="95" width="10.54296875" bestFit="1" customWidth="1"/>
  </cols>
  <sheetData>
    <row r="1" spans="1:95" x14ac:dyDescent="0.35">
      <c r="C1" s="129" t="s">
        <v>44</v>
      </c>
      <c r="AA1" s="129" t="s">
        <v>33</v>
      </c>
      <c r="AY1" s="5" t="s">
        <v>235</v>
      </c>
      <c r="BW1" s="129" t="s">
        <v>29</v>
      </c>
    </row>
    <row r="2" spans="1:95" x14ac:dyDescent="0.35">
      <c r="C2" s="320" t="s">
        <v>565</v>
      </c>
      <c r="D2" s="320"/>
      <c r="E2" s="320"/>
      <c r="F2" s="133" t="s">
        <v>566</v>
      </c>
      <c r="G2" s="170" t="s">
        <v>567</v>
      </c>
      <c r="H2" s="136"/>
      <c r="I2" s="136"/>
      <c r="J2" s="136"/>
      <c r="K2" s="136"/>
      <c r="L2" s="136"/>
      <c r="M2" s="136"/>
      <c r="N2" s="136"/>
      <c r="P2" s="130" t="s">
        <v>564</v>
      </c>
      <c r="Q2" s="130"/>
      <c r="R2" s="130"/>
      <c r="S2" s="130"/>
      <c r="T2" s="130"/>
      <c r="U2" s="130"/>
      <c r="V2" s="130"/>
      <c r="W2" s="130"/>
      <c r="X2" s="130"/>
      <c r="AA2" s="320" t="s">
        <v>374</v>
      </c>
      <c r="AB2" s="320"/>
      <c r="AC2" s="320"/>
      <c r="AD2" s="133" t="s">
        <v>371</v>
      </c>
      <c r="AE2" s="170" t="s">
        <v>375</v>
      </c>
      <c r="AF2" s="136"/>
      <c r="AG2" s="136"/>
      <c r="AH2" s="136"/>
      <c r="AI2" s="136"/>
      <c r="AJ2" s="136"/>
      <c r="AK2" s="136"/>
      <c r="AL2" s="136"/>
      <c r="AN2" s="130" t="s">
        <v>450</v>
      </c>
      <c r="AO2" s="130"/>
      <c r="AP2" s="130"/>
      <c r="AQ2" s="130"/>
      <c r="AR2" s="130"/>
      <c r="AS2" s="130"/>
      <c r="AT2" s="130"/>
      <c r="AU2" s="130"/>
      <c r="AV2" s="130"/>
      <c r="AY2" s="320" t="s">
        <v>374</v>
      </c>
      <c r="AZ2" s="320"/>
      <c r="BA2" s="320"/>
      <c r="BB2" s="133" t="s">
        <v>371</v>
      </c>
      <c r="BC2" s="170" t="s">
        <v>375</v>
      </c>
      <c r="BD2" s="136"/>
      <c r="BE2" s="136"/>
      <c r="BF2" s="136"/>
      <c r="BG2" s="136"/>
      <c r="BH2" s="136"/>
      <c r="BI2" s="136"/>
      <c r="BJ2" s="136"/>
      <c r="BL2" s="130" t="s">
        <v>450</v>
      </c>
      <c r="BM2" s="130"/>
      <c r="BN2" s="130"/>
      <c r="BO2" s="130"/>
      <c r="BP2" s="130"/>
      <c r="BQ2" s="130"/>
      <c r="BR2" s="130"/>
      <c r="BS2" s="130"/>
      <c r="BT2" s="130"/>
      <c r="BW2" s="320" t="s">
        <v>374</v>
      </c>
      <c r="BX2" s="320"/>
      <c r="BY2" s="320"/>
      <c r="BZ2" s="133" t="s">
        <v>371</v>
      </c>
      <c r="CA2" s="170" t="s">
        <v>375</v>
      </c>
      <c r="CB2" s="136"/>
      <c r="CC2" s="136"/>
      <c r="CD2" s="136"/>
      <c r="CE2" s="136"/>
      <c r="CF2" s="136"/>
      <c r="CG2" s="136"/>
      <c r="CH2" s="136"/>
      <c r="CJ2" s="130" t="s">
        <v>450</v>
      </c>
    </row>
    <row r="3" spans="1:95" x14ac:dyDescent="0.35">
      <c r="C3" s="128">
        <v>43864</v>
      </c>
      <c r="D3" s="128">
        <v>43920</v>
      </c>
      <c r="E3" s="128">
        <v>43986</v>
      </c>
      <c r="F3" s="134">
        <v>43925</v>
      </c>
      <c r="G3" s="171">
        <v>44201</v>
      </c>
      <c r="H3" s="134">
        <v>44281</v>
      </c>
      <c r="I3" s="134">
        <v>44349</v>
      </c>
      <c r="J3" s="134">
        <v>44466</v>
      </c>
      <c r="K3" s="134">
        <v>44567</v>
      </c>
      <c r="L3" s="134">
        <v>44698</v>
      </c>
      <c r="M3" s="134">
        <v>44754</v>
      </c>
      <c r="N3" s="134">
        <v>44860</v>
      </c>
      <c r="O3" s="128"/>
      <c r="P3" s="212">
        <v>44201</v>
      </c>
      <c r="Q3" s="128">
        <v>44281</v>
      </c>
      <c r="R3" s="128">
        <v>44349</v>
      </c>
      <c r="S3" s="128">
        <v>44466</v>
      </c>
      <c r="T3" s="128">
        <v>44567</v>
      </c>
      <c r="U3" s="128">
        <v>44698</v>
      </c>
      <c r="V3" s="128">
        <v>44754</v>
      </c>
      <c r="W3" s="128">
        <v>44860</v>
      </c>
      <c r="AA3" s="128">
        <v>43864</v>
      </c>
      <c r="AB3" s="128">
        <v>43920</v>
      </c>
      <c r="AC3" s="128">
        <v>43986</v>
      </c>
      <c r="AD3" s="134">
        <v>43925</v>
      </c>
      <c r="AE3" s="171">
        <v>44201</v>
      </c>
      <c r="AF3" s="134">
        <v>44281</v>
      </c>
      <c r="AG3" s="134">
        <v>44349</v>
      </c>
      <c r="AH3" s="134">
        <v>44466</v>
      </c>
      <c r="AI3" s="134">
        <v>44567</v>
      </c>
      <c r="AJ3" s="134">
        <v>44698</v>
      </c>
      <c r="AK3" s="134">
        <v>44754</v>
      </c>
      <c r="AL3" s="134">
        <v>44860</v>
      </c>
      <c r="AM3" s="128"/>
      <c r="AN3" s="212">
        <v>44201</v>
      </c>
      <c r="AO3" s="128">
        <v>44281</v>
      </c>
      <c r="AP3" s="128">
        <v>44349</v>
      </c>
      <c r="AQ3" s="128">
        <v>44466</v>
      </c>
      <c r="AR3" s="128">
        <v>44567</v>
      </c>
      <c r="AS3" s="128">
        <v>44698</v>
      </c>
      <c r="AT3" s="128">
        <v>44754</v>
      </c>
      <c r="AU3" s="128">
        <v>44860</v>
      </c>
      <c r="AY3" s="128">
        <v>43864</v>
      </c>
      <c r="AZ3" s="128">
        <v>43920</v>
      </c>
      <c r="BA3" s="128">
        <v>43986</v>
      </c>
      <c r="BB3" s="134">
        <v>43925</v>
      </c>
      <c r="BC3" s="171">
        <v>44201</v>
      </c>
      <c r="BD3" s="134">
        <v>44281</v>
      </c>
      <c r="BE3" s="134">
        <v>44349</v>
      </c>
      <c r="BF3" s="134">
        <v>44466</v>
      </c>
      <c r="BG3" s="134">
        <v>44567</v>
      </c>
      <c r="BH3" s="134">
        <v>44698</v>
      </c>
      <c r="BI3" s="134">
        <v>44754</v>
      </c>
      <c r="BJ3" s="134">
        <v>44860</v>
      </c>
      <c r="BK3" s="128"/>
      <c r="BL3" s="212">
        <v>44201</v>
      </c>
      <c r="BM3" s="128">
        <v>44281</v>
      </c>
      <c r="BN3" s="128">
        <v>44349</v>
      </c>
      <c r="BO3" s="128">
        <v>44466</v>
      </c>
      <c r="BP3" s="128">
        <v>44567</v>
      </c>
      <c r="BQ3" s="228">
        <v>44698</v>
      </c>
      <c r="BR3" s="228">
        <v>44754</v>
      </c>
      <c r="BS3" s="228">
        <v>44860</v>
      </c>
      <c r="BW3" s="128">
        <v>43864</v>
      </c>
      <c r="BX3" s="128">
        <v>43920</v>
      </c>
      <c r="BY3" s="128">
        <v>43986</v>
      </c>
      <c r="BZ3" s="134">
        <v>43925</v>
      </c>
      <c r="CA3" s="171">
        <v>44201</v>
      </c>
      <c r="CB3" s="134">
        <v>44281</v>
      </c>
      <c r="CC3" s="134">
        <v>44349</v>
      </c>
      <c r="CD3" s="134">
        <v>44466</v>
      </c>
      <c r="CE3" s="134">
        <v>44567</v>
      </c>
      <c r="CF3" s="134">
        <v>44698</v>
      </c>
      <c r="CG3" s="134">
        <v>44754</v>
      </c>
      <c r="CH3" s="134">
        <v>44860</v>
      </c>
      <c r="CI3" s="128"/>
      <c r="CJ3" s="212">
        <v>44201</v>
      </c>
      <c r="CK3" s="128">
        <v>44281</v>
      </c>
      <c r="CL3" s="128">
        <v>44349</v>
      </c>
      <c r="CM3" s="128">
        <v>44466</v>
      </c>
      <c r="CN3" s="128">
        <v>44567</v>
      </c>
      <c r="CO3" s="228">
        <v>44698</v>
      </c>
      <c r="CP3" s="128">
        <v>44754</v>
      </c>
      <c r="CQ3" s="128">
        <v>44860</v>
      </c>
    </row>
    <row r="4" spans="1:95" x14ac:dyDescent="0.35">
      <c r="A4" t="s">
        <v>372</v>
      </c>
      <c r="B4" s="126">
        <v>203</v>
      </c>
      <c r="C4" s="124">
        <v>10</v>
      </c>
      <c r="D4" s="125">
        <v>3.2</v>
      </c>
      <c r="E4" s="125">
        <v>12</v>
      </c>
      <c r="F4" s="135">
        <f>AVERAGE(C4:E4)</f>
        <v>8.4</v>
      </c>
      <c r="G4" s="174">
        <f>'Surface water'!V28</f>
        <v>0.6</v>
      </c>
      <c r="H4" s="141">
        <f>'Surface water'!W28</f>
        <v>0.92</v>
      </c>
      <c r="I4" s="141">
        <f>'Surface water'!X28</f>
        <v>0.73</v>
      </c>
      <c r="J4" s="141">
        <f>'Surface water'!Y28</f>
        <v>1.7</v>
      </c>
      <c r="K4" s="141">
        <f>'Surface water'!Z28</f>
        <v>0.19</v>
      </c>
      <c r="L4" s="141">
        <f>'Surface water'!AA28</f>
        <v>3.3</v>
      </c>
      <c r="M4" s="141">
        <f>'Surface water'!AB28</f>
        <v>6.5</v>
      </c>
      <c r="N4" s="141">
        <f>'Surface water'!AC28</f>
        <v>0.35</v>
      </c>
      <c r="O4" s="131"/>
      <c r="P4" s="132">
        <f t="shared" ref="P4:W5" si="0">1-(G4/$F4)</f>
        <v>0.9285714285714286</v>
      </c>
      <c r="Q4" s="132">
        <f t="shared" si="0"/>
        <v>0.89047619047619042</v>
      </c>
      <c r="R4" s="132">
        <f t="shared" si="0"/>
        <v>0.91309523809523807</v>
      </c>
      <c r="S4" s="132">
        <f t="shared" si="0"/>
        <v>0.79761904761904767</v>
      </c>
      <c r="T4" s="132">
        <f t="shared" si="0"/>
        <v>0.97738095238095235</v>
      </c>
      <c r="U4" s="132">
        <f t="shared" si="0"/>
        <v>0.60714285714285721</v>
      </c>
      <c r="V4" s="278">
        <f t="shared" si="0"/>
        <v>0.22619047619047628</v>
      </c>
      <c r="W4" s="132">
        <f t="shared" si="0"/>
        <v>0.95833333333333337</v>
      </c>
      <c r="X4" s="132"/>
      <c r="Y4" t="s">
        <v>372</v>
      </c>
      <c r="Z4" s="126">
        <v>203</v>
      </c>
      <c r="AA4" s="175">
        <v>2.7</v>
      </c>
      <c r="AB4" s="176">
        <v>0.78</v>
      </c>
      <c r="AC4" s="176">
        <v>2</v>
      </c>
      <c r="AD4" s="177">
        <f>AVERAGE(AA4:AC4)</f>
        <v>1.8266666666666669</v>
      </c>
      <c r="AE4" s="178">
        <f>'Surface water'!V18</f>
        <v>5.8999999999999997E-2</v>
      </c>
      <c r="AF4" s="179">
        <f>'Surface water'!W18</f>
        <v>6.3E-2</v>
      </c>
      <c r="AG4" s="179">
        <f>'Surface water'!X18</f>
        <v>4.7E-2</v>
      </c>
      <c r="AH4" s="179">
        <f>'Surface water'!Y18</f>
        <v>0.16</v>
      </c>
      <c r="AI4" s="179">
        <f>'Surface water'!Z18</f>
        <v>1.7000000000000001E-2</v>
      </c>
      <c r="AJ4" s="179">
        <f>'Surface water'!AA18</f>
        <v>0.13</v>
      </c>
      <c r="AK4" s="179">
        <f>'Surface water'!AB18</f>
        <v>1.1000000000000001</v>
      </c>
      <c r="AL4" s="179">
        <f>'Surface water'!AC18</f>
        <v>4.1000000000000002E-2</v>
      </c>
      <c r="AM4" s="231"/>
      <c r="AN4" s="132">
        <f t="shared" ref="AN4:AU4" si="1">1-(AE4/$AD4)</f>
        <v>0.96770072992700729</v>
      </c>
      <c r="AO4" s="132">
        <f t="shared" si="1"/>
        <v>0.96551094890510947</v>
      </c>
      <c r="AP4" s="132">
        <f t="shared" si="1"/>
        <v>0.97427007299270074</v>
      </c>
      <c r="AQ4" s="132">
        <f t="shared" si="1"/>
        <v>0.91240875912408759</v>
      </c>
      <c r="AR4" s="132">
        <f t="shared" si="1"/>
        <v>0.99069343065693427</v>
      </c>
      <c r="AS4" s="132">
        <f t="shared" si="1"/>
        <v>0.92883211678832112</v>
      </c>
      <c r="AT4" s="132">
        <f t="shared" si="1"/>
        <v>0.3978102189781022</v>
      </c>
      <c r="AU4" s="132">
        <f t="shared" si="1"/>
        <v>0.97755474452554747</v>
      </c>
      <c r="AV4" s="132"/>
      <c r="AW4" t="s">
        <v>372</v>
      </c>
      <c r="AX4" s="126">
        <v>203</v>
      </c>
      <c r="AY4" s="124">
        <v>14</v>
      </c>
      <c r="AZ4" s="125">
        <v>3</v>
      </c>
      <c r="BA4" s="131">
        <v>0.01</v>
      </c>
      <c r="BB4" s="137">
        <f>AVERAGE(AY4:BA4)</f>
        <v>5.6700000000000008</v>
      </c>
      <c r="BC4" s="180">
        <f>'Surface water'!V16</f>
        <v>7.2999999999999995E-2</v>
      </c>
      <c r="BD4" s="141">
        <f>'Surface water'!W16</f>
        <v>0.16</v>
      </c>
      <c r="BE4" s="141">
        <f>'Surface water'!X16</f>
        <v>0.11</v>
      </c>
      <c r="BF4" s="141">
        <f>'Surface water'!Y16</f>
        <v>0.6</v>
      </c>
      <c r="BG4" s="141" t="str">
        <f>'Surface water'!Z16</f>
        <v>&lt;0.010</v>
      </c>
      <c r="BH4" s="141">
        <f>'Surface water'!AA16</f>
        <v>0.75</v>
      </c>
      <c r="BI4" s="141">
        <f>'Surface water'!AB16</f>
        <v>0.13</v>
      </c>
      <c r="BJ4" s="141">
        <f>'Surface water'!AC16</f>
        <v>5.8999999999999997E-2</v>
      </c>
      <c r="BK4" s="131"/>
      <c r="BL4" s="132">
        <f t="shared" ref="BL4:BO6" si="2">1-(BC4/$BB4)</f>
        <v>0.98712522045855378</v>
      </c>
      <c r="BM4" s="132">
        <f t="shared" si="2"/>
        <v>0.97178130511463845</v>
      </c>
      <c r="BN4" s="132">
        <f t="shared" si="2"/>
        <v>0.98059964726631388</v>
      </c>
      <c r="BO4" s="132">
        <f t="shared" si="2"/>
        <v>0.89417989417989419</v>
      </c>
      <c r="BP4" s="132">
        <f>1-(0.01/$BB4)</f>
        <v>0.99823633156966496</v>
      </c>
      <c r="BQ4" s="132">
        <f t="shared" ref="BQ4:BS7" si="3">1-(BH4/$BB4)</f>
        <v>0.86772486772486768</v>
      </c>
      <c r="BR4" s="132">
        <f t="shared" si="3"/>
        <v>0.9770723104056438</v>
      </c>
      <c r="BS4" s="132">
        <f t="shared" si="3"/>
        <v>0.98959435626102288</v>
      </c>
      <c r="BT4" s="132"/>
      <c r="BU4" t="s">
        <v>372</v>
      </c>
      <c r="BV4" s="126">
        <v>203</v>
      </c>
      <c r="BW4" s="124">
        <v>57</v>
      </c>
      <c r="BX4" s="125">
        <v>46</v>
      </c>
      <c r="BY4" s="131">
        <v>3.7999999999999999E-2</v>
      </c>
      <c r="BZ4" s="137">
        <f>AVERAGE(BW4:BY4)</f>
        <v>34.345999999999997</v>
      </c>
      <c r="CA4" s="174">
        <f>'Surface water'!V14</f>
        <v>1</v>
      </c>
      <c r="CB4" s="168">
        <f>'Surface water'!W14</f>
        <v>1</v>
      </c>
      <c r="CC4" s="168">
        <f>'Surface water'!X14</f>
        <v>0.28000000000000003</v>
      </c>
      <c r="CD4" s="168">
        <f>'Surface water'!Y14</f>
        <v>0.81</v>
      </c>
      <c r="CE4" s="168" t="str">
        <f>'Surface water'!Z14</f>
        <v>&lt;0.020</v>
      </c>
      <c r="CF4" s="168">
        <f>'Surface water'!AA14</f>
        <v>0.12</v>
      </c>
      <c r="CG4" s="220">
        <f>'Surface water'!AB14</f>
        <v>4.5999999999999999E-2</v>
      </c>
      <c r="CH4" s="168">
        <f>'Surface water'!AC14</f>
        <v>3.3000000000000002E-2</v>
      </c>
      <c r="CI4" s="125"/>
      <c r="CJ4" s="132">
        <f>1-(CA4/$BZ4)</f>
        <v>0.97088452803819947</v>
      </c>
      <c r="CK4" s="132">
        <f>1-(CB4/$BZ4)</f>
        <v>0.97088452803819947</v>
      </c>
      <c r="CL4" s="132">
        <f>1-(CC4/$BZ4)</f>
        <v>0.99184766785069589</v>
      </c>
      <c r="CM4" s="132">
        <f>1-(CD4/$BZ4)</f>
        <v>0.97641646771094159</v>
      </c>
      <c r="CN4" s="132">
        <f>1-(0.02/$BZ4)</f>
        <v>0.99941769056076402</v>
      </c>
      <c r="CO4" s="132">
        <f t="shared" ref="CO4:CQ7" si="4">1-(CF4/$BZ4)</f>
        <v>0.99650614336458399</v>
      </c>
      <c r="CP4" s="132">
        <f t="shared" si="4"/>
        <v>0.99866068828975718</v>
      </c>
      <c r="CQ4" s="132">
        <f t="shared" si="4"/>
        <v>0.9990391894252606</v>
      </c>
    </row>
    <row r="5" spans="1:95" x14ac:dyDescent="0.35">
      <c r="A5" t="s">
        <v>372</v>
      </c>
      <c r="B5" s="126">
        <v>205</v>
      </c>
      <c r="C5" s="124">
        <v>12</v>
      </c>
      <c r="D5" s="125">
        <v>7.5</v>
      </c>
      <c r="E5" s="125">
        <v>14</v>
      </c>
      <c r="F5" s="135">
        <f>AVERAGE(C5:E5)</f>
        <v>11.166666666666666</v>
      </c>
      <c r="G5" s="174">
        <f>'Surface water'!AJ28</f>
        <v>1.7</v>
      </c>
      <c r="H5" s="168">
        <f>'Surface water'!AK28</f>
        <v>1.1000000000000001</v>
      </c>
      <c r="I5" s="168">
        <f>'Surface water'!AL28</f>
        <v>0.85</v>
      </c>
      <c r="J5" s="168">
        <f>'Surface water'!AM28</f>
        <v>5.7</v>
      </c>
      <c r="K5" s="168">
        <f>'Surface water'!AN28</f>
        <v>0.54</v>
      </c>
      <c r="L5" s="168">
        <f>'Surface water'!AO28</f>
        <v>2.6</v>
      </c>
      <c r="M5" s="168">
        <f>'Surface water'!AP28</f>
        <v>7</v>
      </c>
      <c r="N5" s="168">
        <f>'Surface water'!AQ28</f>
        <v>3.4</v>
      </c>
      <c r="O5" s="125"/>
      <c r="P5" s="132">
        <f t="shared" si="0"/>
        <v>0.84776119402985073</v>
      </c>
      <c r="Q5" s="132">
        <f t="shared" si="0"/>
        <v>0.90149253731343282</v>
      </c>
      <c r="R5" s="132">
        <f t="shared" si="0"/>
        <v>0.92388059701492531</v>
      </c>
      <c r="S5" s="132">
        <f t="shared" si="0"/>
        <v>0.4895522388059701</v>
      </c>
      <c r="T5" s="132">
        <f t="shared" si="0"/>
        <v>0.95164179104477609</v>
      </c>
      <c r="U5" s="132">
        <f t="shared" si="0"/>
        <v>0.76716417910447765</v>
      </c>
      <c r="V5" s="132">
        <f t="shared" si="0"/>
        <v>0.37313432835820892</v>
      </c>
      <c r="W5" s="132">
        <f t="shared" si="0"/>
        <v>0.69552238805970146</v>
      </c>
      <c r="X5" s="132"/>
      <c r="Y5" t="s">
        <v>372</v>
      </c>
      <c r="Z5" s="126">
        <v>205</v>
      </c>
      <c r="AA5" s="175">
        <v>2.7</v>
      </c>
      <c r="AB5" s="176">
        <v>1.3</v>
      </c>
      <c r="AC5" s="176">
        <v>2.9</v>
      </c>
      <c r="AD5" s="177">
        <f>AVERAGE(AA5:AC5)</f>
        <v>2.3000000000000003</v>
      </c>
      <c r="AE5" s="178">
        <f>'Surface water'!AJ18</f>
        <v>8.4000000000000005E-2</v>
      </c>
      <c r="AF5" s="179">
        <f>'Surface water'!AK18</f>
        <v>0.12</v>
      </c>
      <c r="AG5" s="179">
        <f>'Surface water'!AL18</f>
        <v>5.7000000000000002E-2</v>
      </c>
      <c r="AH5" s="179">
        <f>'Surface water'!AM18</f>
        <v>0.38</v>
      </c>
      <c r="AI5" s="179" t="str">
        <f>'Surface water'!AN18</f>
        <v>&lt;0.050</v>
      </c>
      <c r="AJ5" s="179">
        <f>'Surface water'!AO18</f>
        <v>0.14000000000000001</v>
      </c>
      <c r="AK5" s="179">
        <f>'Surface water'!AP18</f>
        <v>0.89</v>
      </c>
      <c r="AL5" s="179">
        <f>'Surface water'!AQ18</f>
        <v>0.16</v>
      </c>
      <c r="AM5" s="231"/>
      <c r="AN5" s="132">
        <f t="shared" ref="AN5:AQ7" si="5">1-(AE5/$AD5)</f>
        <v>0.96347826086956523</v>
      </c>
      <c r="AO5" s="132">
        <f t="shared" si="5"/>
        <v>0.94782608695652171</v>
      </c>
      <c r="AP5" s="132">
        <f t="shared" si="5"/>
        <v>0.97521739130434781</v>
      </c>
      <c r="AQ5" s="132">
        <f t="shared" si="5"/>
        <v>0.83478260869565224</v>
      </c>
      <c r="AR5" s="132">
        <f>1-(0.05/$AD5)</f>
        <v>0.97826086956521741</v>
      </c>
      <c r="AS5" s="132">
        <f t="shared" ref="AS5:AU7" si="6">1-(AJ5/$AD5)</f>
        <v>0.93913043478260871</v>
      </c>
      <c r="AT5" s="132">
        <f t="shared" si="6"/>
        <v>0.61304347826086958</v>
      </c>
      <c r="AU5" s="132">
        <f t="shared" si="6"/>
        <v>0.93043478260869561</v>
      </c>
      <c r="AV5" s="132"/>
      <c r="AW5" t="s">
        <v>372</v>
      </c>
      <c r="AX5" s="126">
        <v>205</v>
      </c>
      <c r="AY5" s="124">
        <v>12</v>
      </c>
      <c r="AZ5" s="125">
        <v>7.8</v>
      </c>
      <c r="BA5" s="131">
        <v>0.01</v>
      </c>
      <c r="BB5" s="137">
        <f>AVERAGE(AY5:BA5)</f>
        <v>6.6033333333333344</v>
      </c>
      <c r="BC5" s="180">
        <f>'Surface water'!AJ16</f>
        <v>0.68</v>
      </c>
      <c r="BD5" s="141">
        <f>'Surface water'!AK16</f>
        <v>0.01</v>
      </c>
      <c r="BE5" s="141">
        <f>'Surface water'!AL16</f>
        <v>0.18</v>
      </c>
      <c r="BF5" s="141">
        <f>'Surface water'!AM16</f>
        <v>2.1</v>
      </c>
      <c r="BG5" s="141">
        <f>'Surface water'!AN16</f>
        <v>0.11</v>
      </c>
      <c r="BH5" s="141">
        <f>'Surface water'!AO16</f>
        <v>0.56000000000000005</v>
      </c>
      <c r="BI5" s="141">
        <f>'Surface water'!AP16</f>
        <v>6.8000000000000005E-2</v>
      </c>
      <c r="BJ5" s="141">
        <f>'Surface water'!AQ16</f>
        <v>0.95</v>
      </c>
      <c r="BK5" s="131"/>
      <c r="BL5" s="132">
        <f t="shared" si="2"/>
        <v>0.89702170620898536</v>
      </c>
      <c r="BM5" s="132">
        <f t="shared" si="2"/>
        <v>0.99848561332660268</v>
      </c>
      <c r="BN5" s="132">
        <f t="shared" si="2"/>
        <v>0.97274103987884908</v>
      </c>
      <c r="BO5" s="132">
        <f t="shared" si="2"/>
        <v>0.6819787985865724</v>
      </c>
      <c r="BP5" s="132">
        <f>1-(BG5/$BB5)</f>
        <v>0.98334174659262996</v>
      </c>
      <c r="BQ5" s="132">
        <f t="shared" si="3"/>
        <v>0.91519434628975271</v>
      </c>
      <c r="BR5" s="132">
        <f t="shared" si="3"/>
        <v>0.98970217062089849</v>
      </c>
      <c r="BS5" s="132">
        <f t="shared" si="3"/>
        <v>0.85613326602725892</v>
      </c>
      <c r="BT5" s="132"/>
      <c r="BU5" t="s">
        <v>372</v>
      </c>
      <c r="BV5" s="126">
        <v>205</v>
      </c>
      <c r="BW5" s="124">
        <v>60</v>
      </c>
      <c r="BX5" s="125">
        <v>60</v>
      </c>
      <c r="BY5" s="131">
        <v>4.3999999999999997E-2</v>
      </c>
      <c r="BZ5" s="137">
        <f>AVERAGE(BW5:BY5)</f>
        <v>40.014666666666663</v>
      </c>
      <c r="CA5" s="174">
        <f>'Surface water'!AJ14</f>
        <v>11</v>
      </c>
      <c r="CB5" s="168" t="str">
        <f>'Surface water'!AK14</f>
        <v>&lt;0.10</v>
      </c>
      <c r="CC5" s="168">
        <f>'Surface water'!AL14</f>
        <v>3.2</v>
      </c>
      <c r="CD5" s="168">
        <f>'Surface water'!AM14</f>
        <v>33</v>
      </c>
      <c r="CE5" s="168">
        <f>'Surface water'!AN14</f>
        <v>6.8</v>
      </c>
      <c r="CF5" s="168">
        <f>'Surface water'!AO14</f>
        <v>6.6</v>
      </c>
      <c r="CG5" s="220">
        <f>'Surface water'!AP14</f>
        <v>0.04</v>
      </c>
      <c r="CH5" s="168">
        <f>'Surface water'!AQ14</f>
        <v>0.41</v>
      </c>
      <c r="CI5" s="125"/>
      <c r="CJ5" s="132">
        <f>1-(CA5/$BZ5)</f>
        <v>0.72510079637466263</v>
      </c>
      <c r="CK5" s="132">
        <f>1-(0.1/$BZ5)</f>
        <v>0.99750091633067872</v>
      </c>
      <c r="CL5" s="132">
        <f>1-(CC5/$BZ5)</f>
        <v>0.92002932258171999</v>
      </c>
      <c r="CM5" s="278">
        <f>1-(CD5/$BZ5)</f>
        <v>0.17530238912398777</v>
      </c>
      <c r="CN5" s="132">
        <f>1-(CE5/$BZ5)</f>
        <v>0.83006231048615509</v>
      </c>
      <c r="CO5" s="132">
        <f t="shared" si="4"/>
        <v>0.83506047782479753</v>
      </c>
      <c r="CP5" s="132">
        <f t="shared" si="4"/>
        <v>0.99900036653227153</v>
      </c>
      <c r="CQ5" s="132">
        <f t="shared" si="4"/>
        <v>0.98975375695578283</v>
      </c>
    </row>
    <row r="6" spans="1:95" x14ac:dyDescent="0.35">
      <c r="A6" t="s">
        <v>568</v>
      </c>
      <c r="B6" s="127" t="s">
        <v>368</v>
      </c>
      <c r="C6" s="125">
        <v>14</v>
      </c>
      <c r="D6" s="125">
        <v>9.4</v>
      </c>
      <c r="E6" s="125">
        <v>8.9</v>
      </c>
      <c r="F6" s="135">
        <f>AVERAGE(C6:E6)</f>
        <v>10.766666666666666</v>
      </c>
      <c r="G6" s="174">
        <f>'Surface water'!AU28</f>
        <v>2.2000000000000002</v>
      </c>
      <c r="H6" s="168" t="str">
        <f>'Surface water'!AV28</f>
        <v>&lt;0.010</v>
      </c>
      <c r="I6" s="168">
        <f>'Surface water'!AW28</f>
        <v>1.5</v>
      </c>
      <c r="J6" s="168">
        <f>'Surface water'!AX28</f>
        <v>4.5999999999999996</v>
      </c>
      <c r="K6" s="168">
        <f>'Surface water'!AY28</f>
        <v>1.6</v>
      </c>
      <c r="L6" s="168">
        <f>'Surface water'!AZ28</f>
        <v>3.3</v>
      </c>
      <c r="M6" s="168">
        <f>'Surface water'!BA28</f>
        <v>4.9000000000000004</v>
      </c>
      <c r="N6" s="168">
        <f>'Surface water'!BB28</f>
        <v>0.26</v>
      </c>
      <c r="O6" s="125"/>
      <c r="P6" s="132">
        <f>1-(G6/$F6)</f>
        <v>0.79566563467492257</v>
      </c>
      <c r="Q6" s="132">
        <f>1-(0.01/$F6)</f>
        <v>0.9990712074303405</v>
      </c>
      <c r="R6" s="132">
        <f t="shared" ref="R6:W7" si="7">1-(I6/$F6)</f>
        <v>0.86068111455108354</v>
      </c>
      <c r="S6" s="230">
        <f t="shared" si="7"/>
        <v>0.5727554179566563</v>
      </c>
      <c r="T6" s="132">
        <f t="shared" si="7"/>
        <v>0.85139318885448911</v>
      </c>
      <c r="U6" s="230">
        <f t="shared" si="7"/>
        <v>0.69349845201238391</v>
      </c>
      <c r="V6" s="230">
        <f t="shared" si="7"/>
        <v>0.54489164086687292</v>
      </c>
      <c r="W6" s="230">
        <f t="shared" si="7"/>
        <v>0.9758513931888545</v>
      </c>
      <c r="X6" s="132"/>
      <c r="Y6" t="s">
        <v>373</v>
      </c>
      <c r="Z6" s="127" t="s">
        <v>368</v>
      </c>
      <c r="AA6" s="176">
        <v>2.7</v>
      </c>
      <c r="AB6" s="176">
        <v>0.94</v>
      </c>
      <c r="AC6" s="176">
        <v>2.4</v>
      </c>
      <c r="AD6" s="177">
        <f>AVERAGE(AA6:AC6)</f>
        <v>2.0133333333333332</v>
      </c>
      <c r="AE6" s="178">
        <f>'Surface water'!AU18</f>
        <v>0.11</v>
      </c>
      <c r="AF6" s="179">
        <f>'Surface water'!AV18</f>
        <v>6.8000000000000005E-2</v>
      </c>
      <c r="AG6" s="179">
        <f>'Surface water'!AW18</f>
        <v>8.3000000000000004E-2</v>
      </c>
      <c r="AH6" s="179">
        <f>'Surface water'!AX18</f>
        <v>0.34</v>
      </c>
      <c r="AI6" s="179">
        <f>'Surface water'!AY18</f>
        <v>7.0999999999999994E-2</v>
      </c>
      <c r="AJ6" s="179">
        <f>'Surface water'!AZ18</f>
        <v>0.53</v>
      </c>
      <c r="AK6" s="179">
        <f>'Surface water'!BA18</f>
        <v>0.63</v>
      </c>
      <c r="AL6" s="179">
        <f>'Surface water'!BB18</f>
        <v>8.1000000000000003E-2</v>
      </c>
      <c r="AM6" s="231"/>
      <c r="AN6" s="132">
        <f t="shared" si="5"/>
        <v>0.94536423841059603</v>
      </c>
      <c r="AO6" s="132">
        <f t="shared" si="5"/>
        <v>0.96622516556291393</v>
      </c>
      <c r="AP6" s="132">
        <f t="shared" si="5"/>
        <v>0.95877483443708611</v>
      </c>
      <c r="AQ6" s="132">
        <f t="shared" si="5"/>
        <v>0.83112582781456945</v>
      </c>
      <c r="AR6" s="132">
        <f>1-(AI6/$AD6)</f>
        <v>0.96473509933774837</v>
      </c>
      <c r="AS6" s="132">
        <f t="shared" si="6"/>
        <v>0.73675496688741715</v>
      </c>
      <c r="AT6" s="132">
        <f t="shared" si="6"/>
        <v>0.6870860927152318</v>
      </c>
      <c r="AU6" s="132">
        <f t="shared" si="6"/>
        <v>0.95976821192052975</v>
      </c>
      <c r="AV6" s="132"/>
      <c r="AW6" t="s">
        <v>373</v>
      </c>
      <c r="AX6" s="127" t="s">
        <v>368</v>
      </c>
      <c r="AY6" s="125">
        <v>11</v>
      </c>
      <c r="AZ6" s="125">
        <v>6.9</v>
      </c>
      <c r="BA6" s="131">
        <v>0.01</v>
      </c>
      <c r="BB6" s="137">
        <f>AVERAGE(AY6:BA6)</f>
        <v>5.97</v>
      </c>
      <c r="BC6" s="180">
        <f>'Surface water'!AU16</f>
        <v>0.73</v>
      </c>
      <c r="BD6" s="141">
        <f>'Surface water'!AV16</f>
        <v>2.3E-2</v>
      </c>
      <c r="BE6" s="141">
        <f>'Surface water'!AW16</f>
        <v>8.6999999999999994E-2</v>
      </c>
      <c r="BF6" s="141">
        <f>'Surface water'!AX16</f>
        <v>1.3</v>
      </c>
      <c r="BG6" s="141">
        <f>'Surface water'!AY16</f>
        <v>0.3</v>
      </c>
      <c r="BH6" s="141">
        <f>'Surface water'!AZ16</f>
        <v>0.31</v>
      </c>
      <c r="BI6" s="141">
        <f>'Surface water'!BA16</f>
        <v>0.15</v>
      </c>
      <c r="BJ6" s="141">
        <f>'Surface water'!BB16</f>
        <v>0.01</v>
      </c>
      <c r="BK6" s="131"/>
      <c r="BL6" s="132">
        <f t="shared" si="2"/>
        <v>0.8777219430485762</v>
      </c>
      <c r="BM6" s="132">
        <f t="shared" si="2"/>
        <v>0.99614740368509214</v>
      </c>
      <c r="BN6" s="132">
        <f t="shared" si="2"/>
        <v>0.98542713567839191</v>
      </c>
      <c r="BO6" s="132">
        <f t="shared" si="2"/>
        <v>0.78224455611390287</v>
      </c>
      <c r="BP6" s="132">
        <f>1-(BG6/$BB6)</f>
        <v>0.94974874371859297</v>
      </c>
      <c r="BQ6" s="132">
        <f t="shared" si="3"/>
        <v>0.94807370184254602</v>
      </c>
      <c r="BR6" s="132">
        <f t="shared" si="3"/>
        <v>0.97487437185929648</v>
      </c>
      <c r="BS6" s="132">
        <f t="shared" si="3"/>
        <v>0.99832495812395305</v>
      </c>
      <c r="BT6" s="132"/>
      <c r="BU6" t="s">
        <v>373</v>
      </c>
      <c r="BV6" s="127" t="s">
        <v>368</v>
      </c>
      <c r="BW6" s="125">
        <v>53</v>
      </c>
      <c r="BX6" s="125">
        <v>54</v>
      </c>
      <c r="BY6" s="131">
        <v>2.9000000000000001E-2</v>
      </c>
      <c r="BZ6" s="137">
        <f>AVERAGE(BW6:BY6)</f>
        <v>35.676333333333332</v>
      </c>
      <c r="CA6" s="174">
        <f>'Surface water'!AU14</f>
        <v>10</v>
      </c>
      <c r="CB6" s="168" t="str">
        <f>'Surface water'!AV14</f>
        <v>&lt;0.10</v>
      </c>
      <c r="CC6" s="168" t="str">
        <f>'Surface water'!AW14</f>
        <v>&lt;0.020</v>
      </c>
      <c r="CD6" s="168">
        <f>'Surface water'!AX14</f>
        <v>8.5</v>
      </c>
      <c r="CE6" s="168">
        <f>'Surface water'!AY14</f>
        <v>10</v>
      </c>
      <c r="CF6" s="168">
        <f>'Surface water'!AZ14</f>
        <v>1.9</v>
      </c>
      <c r="CG6" s="220">
        <f>'Surface water'!BA14</f>
        <v>3.6999999999999998E-2</v>
      </c>
      <c r="CH6" s="168">
        <f>'Surface water'!BB14</f>
        <v>0.02</v>
      </c>
      <c r="CI6" s="125"/>
      <c r="CJ6" s="132">
        <f>1-(CA6/$BZ6)</f>
        <v>0.71970213680404371</v>
      </c>
      <c r="CK6" s="132">
        <f>1-(0.1/$BZ6)</f>
        <v>0.99719702136804045</v>
      </c>
      <c r="CL6" s="132">
        <f>1-(0.02/$BZ6)</f>
        <v>0.99943940427360811</v>
      </c>
      <c r="CM6" s="132">
        <f>1-(CD6/$BZ6)</f>
        <v>0.76174681628343721</v>
      </c>
      <c r="CN6" s="132">
        <f>1-(CE6/$BZ6)</f>
        <v>0.71970213680404371</v>
      </c>
      <c r="CO6" s="132">
        <f t="shared" si="4"/>
        <v>0.94674340599276829</v>
      </c>
      <c r="CP6" s="132">
        <f t="shared" si="4"/>
        <v>0.99896289790617498</v>
      </c>
      <c r="CQ6" s="132">
        <f t="shared" si="4"/>
        <v>0.99943940427360811</v>
      </c>
    </row>
    <row r="7" spans="1:95" x14ac:dyDescent="0.35">
      <c r="A7" t="s">
        <v>568</v>
      </c>
      <c r="B7" s="127" t="s">
        <v>369</v>
      </c>
      <c r="C7" s="124">
        <v>14</v>
      </c>
      <c r="D7" s="125">
        <v>10</v>
      </c>
      <c r="E7" s="125">
        <v>4.4000000000000004</v>
      </c>
      <c r="F7" s="135">
        <f>AVERAGE(C7:E7)</f>
        <v>9.4666666666666668</v>
      </c>
      <c r="G7" s="174">
        <f>'Surface water'!BF28</f>
        <v>2.6</v>
      </c>
      <c r="H7" s="168">
        <f>'Surface water'!BG28</f>
        <v>0.59</v>
      </c>
      <c r="I7" s="168">
        <f>'Surface water'!BH28</f>
        <v>2.1</v>
      </c>
      <c r="J7" s="168">
        <f>'Surface water'!BI28</f>
        <v>4.0999999999999996</v>
      </c>
      <c r="K7" s="168">
        <f>'Surface water'!BJ28</f>
        <v>0.6</v>
      </c>
      <c r="L7" s="168">
        <f>'Surface water'!BK28</f>
        <v>2.5</v>
      </c>
      <c r="M7" s="168">
        <f>'Surface water'!BL28</f>
        <v>4</v>
      </c>
      <c r="N7" s="168">
        <f>'Surface water'!BM28</f>
        <v>1.3</v>
      </c>
      <c r="O7" s="125"/>
      <c r="P7" s="132">
        <f>1-(G7/$F7)</f>
        <v>0.72535211267605626</v>
      </c>
      <c r="Q7" s="132">
        <f>1-(H7/$F7)</f>
        <v>0.9376760563380282</v>
      </c>
      <c r="R7" s="132">
        <f t="shared" si="7"/>
        <v>0.778169014084507</v>
      </c>
      <c r="S7" s="230">
        <f t="shared" si="7"/>
        <v>0.56690140845070425</v>
      </c>
      <c r="T7" s="132">
        <f t="shared" si="7"/>
        <v>0.93661971830985913</v>
      </c>
      <c r="U7" s="230">
        <f t="shared" si="7"/>
        <v>0.7359154929577465</v>
      </c>
      <c r="V7" s="230">
        <f t="shared" si="7"/>
        <v>0.57746478873239437</v>
      </c>
      <c r="W7" s="230">
        <f t="shared" si="7"/>
        <v>0.86267605633802813</v>
      </c>
      <c r="X7" s="132"/>
      <c r="Y7" t="s">
        <v>373</v>
      </c>
      <c r="Z7" s="127" t="s">
        <v>369</v>
      </c>
      <c r="AA7" s="175">
        <v>3</v>
      </c>
      <c r="AB7" s="176">
        <v>3.1</v>
      </c>
      <c r="AC7" s="176">
        <v>1.7</v>
      </c>
      <c r="AD7" s="177">
        <f>AVERAGE(AA7:AC7)</f>
        <v>2.6</v>
      </c>
      <c r="AE7" s="178">
        <f>'Surface water'!BF18</f>
        <v>0.18</v>
      </c>
      <c r="AF7" s="179">
        <f>'Surface water'!BG18</f>
        <v>0.26</v>
      </c>
      <c r="AG7" s="179">
        <f>'Surface water'!BH18</f>
        <v>8.7999999999999995E-2</v>
      </c>
      <c r="AH7" s="179">
        <f>'Surface water'!BI18</f>
        <v>0.37</v>
      </c>
      <c r="AI7" s="179">
        <f>'Surface water'!BJ18</f>
        <v>8.8999999999999996E-2</v>
      </c>
      <c r="AJ7" s="179">
        <f>'Surface water'!BK18</f>
        <v>0.15</v>
      </c>
      <c r="AK7" s="179">
        <f>'Surface water'!BL18</f>
        <v>0.35</v>
      </c>
      <c r="AL7" s="179">
        <f>'Surface water'!BM18</f>
        <v>0.18</v>
      </c>
      <c r="AM7" s="231"/>
      <c r="AN7" s="132">
        <f t="shared" si="5"/>
        <v>0.93076923076923079</v>
      </c>
      <c r="AO7" s="132">
        <f t="shared" si="5"/>
        <v>0.9</v>
      </c>
      <c r="AP7" s="132">
        <f t="shared" si="5"/>
        <v>0.96615384615384614</v>
      </c>
      <c r="AQ7" s="132">
        <f t="shared" si="5"/>
        <v>0.85769230769230775</v>
      </c>
      <c r="AR7" s="132">
        <f>1-(AI7/$AD7)</f>
        <v>0.96576923076923071</v>
      </c>
      <c r="AS7" s="132">
        <f t="shared" si="6"/>
        <v>0.94230769230769229</v>
      </c>
      <c r="AT7" s="132">
        <f t="shared" si="6"/>
        <v>0.86538461538461542</v>
      </c>
      <c r="AU7" s="132">
        <f t="shared" si="6"/>
        <v>0.93076923076923079</v>
      </c>
      <c r="AV7" s="132"/>
      <c r="AW7" t="s">
        <v>373</v>
      </c>
      <c r="AX7" s="127" t="s">
        <v>369</v>
      </c>
      <c r="AY7" s="124">
        <v>12</v>
      </c>
      <c r="AZ7" s="125">
        <v>9.8000000000000007</v>
      </c>
      <c r="BA7" s="131">
        <v>0.01</v>
      </c>
      <c r="BB7" s="137">
        <f>AVERAGE(AY7:BA7)</f>
        <v>7.2700000000000005</v>
      </c>
      <c r="BC7" s="180">
        <f>'Surface water'!BF16</f>
        <v>0.72</v>
      </c>
      <c r="BD7" s="141" t="str">
        <f>'Surface water'!BG16</f>
        <v>&lt;0.010</v>
      </c>
      <c r="BE7" s="141">
        <f>'Surface water'!BH16</f>
        <v>0.15</v>
      </c>
      <c r="BF7" s="141">
        <f>'Surface water'!BI16</f>
        <v>0.56999999999999995</v>
      </c>
      <c r="BG7" s="141">
        <f>'Surface water'!BJ16</f>
        <v>0.31</v>
      </c>
      <c r="BH7" s="141">
        <f>'Surface water'!BK16</f>
        <v>0.56000000000000005</v>
      </c>
      <c r="BI7" s="141">
        <f>'Surface water'!BL16</f>
        <v>4.7E-2</v>
      </c>
      <c r="BJ7" s="141">
        <f>'Surface water'!BM16</f>
        <v>5.2999999999999999E-2</v>
      </c>
      <c r="BK7" s="131"/>
      <c r="BL7" s="132">
        <f>1-(BC7/$BB7)</f>
        <v>0.90096286107290235</v>
      </c>
      <c r="BM7" s="132">
        <f>1-(0.01/$BB7)</f>
        <v>0.99862448418156813</v>
      </c>
      <c r="BN7" s="132">
        <f>1-(BE7/$BB7)</f>
        <v>0.97936726272352137</v>
      </c>
      <c r="BO7" s="132">
        <f>1-(BF7/$BB7)</f>
        <v>0.92159559834938098</v>
      </c>
      <c r="BP7" s="132">
        <f>1-(BG7/$BB7)</f>
        <v>0.95735900962861076</v>
      </c>
      <c r="BQ7" s="132">
        <f t="shared" si="3"/>
        <v>0.92297111416781297</v>
      </c>
      <c r="BR7" s="132">
        <f t="shared" si="3"/>
        <v>0.99353507565337007</v>
      </c>
      <c r="BS7" s="132">
        <f t="shared" si="3"/>
        <v>0.99270976616231088</v>
      </c>
      <c r="BT7" s="132"/>
      <c r="BU7" t="s">
        <v>373</v>
      </c>
      <c r="BV7" s="127" t="s">
        <v>369</v>
      </c>
      <c r="BW7" s="124">
        <v>52</v>
      </c>
      <c r="BX7" s="125">
        <v>53</v>
      </c>
      <c r="BY7" s="131">
        <v>4.7E-2</v>
      </c>
      <c r="BZ7" s="137">
        <f>AVERAGE(BW7:BY7)</f>
        <v>35.015666666666668</v>
      </c>
      <c r="CA7" s="174">
        <f>'Surface water'!BF14</f>
        <v>6.1</v>
      </c>
      <c r="CB7" s="168" t="str">
        <f>'Surface water'!BG14</f>
        <v>&lt;0.10</v>
      </c>
      <c r="CC7" s="168" t="str">
        <f>'Surface water'!BH14</f>
        <v>&lt;0.020</v>
      </c>
      <c r="CD7" s="168">
        <f>'Surface water'!BI14</f>
        <v>3.3</v>
      </c>
      <c r="CE7" s="168">
        <f>'Surface water'!BJ14</f>
        <v>9.6</v>
      </c>
      <c r="CF7" s="168">
        <f>'Surface water'!BK14</f>
        <v>8.4</v>
      </c>
      <c r="CG7" s="220">
        <f>'Surface water'!BL14</f>
        <v>2.3E-2</v>
      </c>
      <c r="CH7" s="168">
        <f>'Surface water'!BM14</f>
        <v>0.71</v>
      </c>
      <c r="CI7" s="125"/>
      <c r="CJ7" s="132">
        <f>1-(CA7/$BZ7)</f>
        <v>0.82579226441497622</v>
      </c>
      <c r="CK7" s="132">
        <f>1-(0.1/$BZ7)</f>
        <v>0.9971441354822127</v>
      </c>
      <c r="CL7" s="132">
        <f>1-(0.02/$BZ7)</f>
        <v>0.99942882709644254</v>
      </c>
      <c r="CM7" s="132">
        <f>1-(CD7/$BZ7)</f>
        <v>0.90575647091301992</v>
      </c>
      <c r="CN7" s="132">
        <f>1-(CE7/$BZ7)</f>
        <v>0.72583700629242154</v>
      </c>
      <c r="CO7" s="132">
        <f t="shared" si="4"/>
        <v>0.76010738050586879</v>
      </c>
      <c r="CP7" s="132">
        <f t="shared" si="4"/>
        <v>0.99934315116090888</v>
      </c>
      <c r="CQ7" s="132">
        <f t="shared" si="4"/>
        <v>0.97972336192371035</v>
      </c>
    </row>
    <row r="8" spans="1:95" ht="18.5" x14ac:dyDescent="0.45">
      <c r="G8" t="s">
        <v>376</v>
      </c>
      <c r="P8" s="139">
        <f t="shared" ref="P8:U8" si="8">AVERAGE(P4:P7)</f>
        <v>0.82433759248806449</v>
      </c>
      <c r="Q8" s="139">
        <f t="shared" si="8"/>
        <v>0.93217899788949798</v>
      </c>
      <c r="R8" s="139">
        <f t="shared" si="8"/>
        <v>0.86895649093643845</v>
      </c>
      <c r="S8" s="139">
        <f t="shared" si="8"/>
        <v>0.60670702820809463</v>
      </c>
      <c r="T8" s="139">
        <f t="shared" si="8"/>
        <v>0.92925891264751914</v>
      </c>
      <c r="U8" s="139">
        <f t="shared" si="8"/>
        <v>0.70093024530436632</v>
      </c>
      <c r="V8" s="242">
        <f t="shared" ref="V8:W8" si="9">AVERAGE(V4:V7)</f>
        <v>0.43042030853698809</v>
      </c>
      <c r="W8" s="139">
        <f t="shared" si="9"/>
        <v>0.87309579272997928</v>
      </c>
      <c r="X8" s="144"/>
      <c r="AE8" t="s">
        <v>376</v>
      </c>
      <c r="AN8" s="139">
        <f t="shared" ref="AN8:AS8" si="10">AVERAGE(AN4:AN7)</f>
        <v>0.95182811499409992</v>
      </c>
      <c r="AO8" s="139">
        <f t="shared" si="10"/>
        <v>0.94489055035613634</v>
      </c>
      <c r="AP8" s="139">
        <f t="shared" si="10"/>
        <v>0.9686040362219952</v>
      </c>
      <c r="AQ8" s="139">
        <f t="shared" si="10"/>
        <v>0.85900237583165429</v>
      </c>
      <c r="AR8" s="139">
        <f t="shared" si="10"/>
        <v>0.97486465758228269</v>
      </c>
      <c r="AS8" s="139">
        <f t="shared" si="10"/>
        <v>0.88675630269150973</v>
      </c>
      <c r="AT8" s="139">
        <f t="shared" ref="AT8:AU8" si="11">AVERAGE(AT4:AT7)</f>
        <v>0.64083110133470478</v>
      </c>
      <c r="AU8" s="139">
        <f t="shared" si="11"/>
        <v>0.94963174245600102</v>
      </c>
      <c r="AV8" s="144"/>
      <c r="BC8" t="s">
        <v>376</v>
      </c>
      <c r="BL8" s="139">
        <f t="shared" ref="BL8:BQ8" si="12">AVERAGE(BL4:BL7)</f>
        <v>0.91570793269725437</v>
      </c>
      <c r="BM8" s="139">
        <f t="shared" si="12"/>
        <v>0.99125970157697529</v>
      </c>
      <c r="BN8" s="139">
        <f t="shared" si="12"/>
        <v>0.979533771386769</v>
      </c>
      <c r="BO8" s="139">
        <f t="shared" si="12"/>
        <v>0.81999971180743769</v>
      </c>
      <c r="BP8" s="139">
        <f t="shared" si="12"/>
        <v>0.97217145787737469</v>
      </c>
      <c r="BQ8" s="139">
        <f t="shared" si="12"/>
        <v>0.9134910075062449</v>
      </c>
      <c r="BR8" s="139">
        <f t="shared" ref="BR8:BS8" si="13">AVERAGE(BR4:BR7)</f>
        <v>0.98379598213480213</v>
      </c>
      <c r="BS8" s="139">
        <f t="shared" si="13"/>
        <v>0.95919058664363654</v>
      </c>
      <c r="BT8" s="144"/>
      <c r="CA8" t="s">
        <v>376</v>
      </c>
      <c r="CJ8" s="139">
        <f t="shared" ref="CJ8:CO8" si="14">AVERAGE(CJ4:CJ7)</f>
        <v>0.81036993140797042</v>
      </c>
      <c r="CK8" s="139">
        <f t="shared" si="14"/>
        <v>0.99068165030478283</v>
      </c>
      <c r="CL8" s="139">
        <f t="shared" si="14"/>
        <v>0.97768630545061663</v>
      </c>
      <c r="CM8" s="139">
        <f t="shared" si="14"/>
        <v>0.70480553600784668</v>
      </c>
      <c r="CN8" s="139">
        <f t="shared" si="14"/>
        <v>0.81875478603584606</v>
      </c>
      <c r="CO8" s="139">
        <f t="shared" si="14"/>
        <v>0.88460435192200459</v>
      </c>
      <c r="CP8" s="139">
        <f t="shared" ref="CP8:CQ8" si="15">AVERAGE(CP4:CP7)</f>
        <v>0.99899177597227806</v>
      </c>
      <c r="CQ8" s="139">
        <f t="shared" si="15"/>
        <v>0.9919889281445905</v>
      </c>
    </row>
    <row r="9" spans="1:95" ht="18.5" x14ac:dyDescent="0.45">
      <c r="G9" t="s">
        <v>372</v>
      </c>
      <c r="P9" s="145">
        <f t="shared" ref="P9:U9" si="16">AVERAGE(P4:P5)</f>
        <v>0.88816631130063972</v>
      </c>
      <c r="Q9" s="145">
        <f t="shared" si="16"/>
        <v>0.89598436389481162</v>
      </c>
      <c r="R9" s="145">
        <f t="shared" si="16"/>
        <v>0.91848791755508175</v>
      </c>
      <c r="S9" s="145">
        <f t="shared" si="16"/>
        <v>0.64358564321250888</v>
      </c>
      <c r="T9" s="145">
        <f t="shared" si="16"/>
        <v>0.96451137171286416</v>
      </c>
      <c r="U9" s="145">
        <f t="shared" si="16"/>
        <v>0.68715351812366743</v>
      </c>
      <c r="V9" s="181">
        <f t="shared" ref="V9:W9" si="17">AVERAGE(V4:V5)</f>
        <v>0.2996624022743426</v>
      </c>
      <c r="W9" s="145">
        <f t="shared" si="17"/>
        <v>0.82692786069651736</v>
      </c>
      <c r="X9" s="144"/>
      <c r="AE9" t="s">
        <v>372</v>
      </c>
      <c r="AN9" s="145">
        <f t="shared" ref="AN9:AS9" si="18">AVERAGE(AN4:AN5)</f>
        <v>0.9655894953982862</v>
      </c>
      <c r="AO9" s="145">
        <f t="shared" si="18"/>
        <v>0.95666851793081564</v>
      </c>
      <c r="AP9" s="145">
        <f t="shared" si="18"/>
        <v>0.97474373214852428</v>
      </c>
      <c r="AQ9" s="145">
        <f t="shared" si="18"/>
        <v>0.87359568390986997</v>
      </c>
      <c r="AR9" s="145">
        <f t="shared" si="18"/>
        <v>0.98447715011107584</v>
      </c>
      <c r="AS9" s="145">
        <f t="shared" si="18"/>
        <v>0.93398127578546486</v>
      </c>
      <c r="AT9" s="182">
        <f t="shared" ref="AT9:AU9" si="19">AVERAGE(AT4:AT5)</f>
        <v>0.50542684861948595</v>
      </c>
      <c r="AU9" s="145">
        <f t="shared" si="19"/>
        <v>0.95399476356712154</v>
      </c>
      <c r="AV9" s="144"/>
      <c r="BC9" t="s">
        <v>372</v>
      </c>
      <c r="BL9" s="145">
        <f t="shared" ref="BL9:BQ9" si="20">AVERAGE(BL4:BL5)</f>
        <v>0.94207346333376951</v>
      </c>
      <c r="BM9" s="145">
        <f t="shared" si="20"/>
        <v>0.98513345922062057</v>
      </c>
      <c r="BN9" s="145">
        <f t="shared" si="20"/>
        <v>0.97667034357258142</v>
      </c>
      <c r="BO9" s="145">
        <f t="shared" si="20"/>
        <v>0.78807934638323329</v>
      </c>
      <c r="BP9" s="145">
        <f t="shared" si="20"/>
        <v>0.99078903908114746</v>
      </c>
      <c r="BQ9" s="145">
        <f t="shared" si="20"/>
        <v>0.8914596070073102</v>
      </c>
      <c r="BR9" s="145">
        <f t="shared" ref="BR9:BS9" si="21">AVERAGE(BR4:BR5)</f>
        <v>0.98338724051327109</v>
      </c>
      <c r="BS9" s="145">
        <f t="shared" si="21"/>
        <v>0.92286381114414096</v>
      </c>
      <c r="BT9" s="144"/>
      <c r="CA9" t="s">
        <v>372</v>
      </c>
      <c r="CJ9" s="145">
        <f t="shared" ref="CJ9:CO9" si="22">AVERAGE(CJ4:CJ5)</f>
        <v>0.8479926622064311</v>
      </c>
      <c r="CK9" s="145">
        <f t="shared" si="22"/>
        <v>0.98419272218443909</v>
      </c>
      <c r="CL9" s="145">
        <f t="shared" si="22"/>
        <v>0.955938495216208</v>
      </c>
      <c r="CM9" s="182">
        <f t="shared" si="22"/>
        <v>0.57585942841746474</v>
      </c>
      <c r="CN9" s="145">
        <f t="shared" si="22"/>
        <v>0.91474000052345961</v>
      </c>
      <c r="CO9" s="145">
        <f t="shared" si="22"/>
        <v>0.91578331059469076</v>
      </c>
      <c r="CP9" s="145">
        <f t="shared" ref="CP9:CQ9" si="23">AVERAGE(CP4:CP5)</f>
        <v>0.9988305274110143</v>
      </c>
      <c r="CQ9" s="145">
        <f t="shared" si="23"/>
        <v>0.99439647319052171</v>
      </c>
    </row>
    <row r="10" spans="1:95" ht="18.5" x14ac:dyDescent="0.45">
      <c r="G10" t="s">
        <v>373</v>
      </c>
      <c r="P10" s="145">
        <f t="shared" ref="P10:U10" si="24">AVERAGE(P6:P7)</f>
        <v>0.76050887367548947</v>
      </c>
      <c r="Q10" s="145">
        <f t="shared" si="24"/>
        <v>0.96837363188418435</v>
      </c>
      <c r="R10" s="145">
        <f t="shared" si="24"/>
        <v>0.81942506431779527</v>
      </c>
      <c r="S10" s="182">
        <f t="shared" si="24"/>
        <v>0.56982841320368027</v>
      </c>
      <c r="T10" s="145">
        <f t="shared" si="24"/>
        <v>0.89400645358217412</v>
      </c>
      <c r="U10" s="145">
        <f t="shared" si="24"/>
        <v>0.71470697248506521</v>
      </c>
      <c r="V10" s="182">
        <f t="shared" ref="V10:W10" si="25">AVERAGE(V6:V7)</f>
        <v>0.56117821479963359</v>
      </c>
      <c r="W10" s="145">
        <f t="shared" si="25"/>
        <v>0.91926372476344131</v>
      </c>
      <c r="X10" s="144"/>
      <c r="AE10" t="s">
        <v>373</v>
      </c>
      <c r="AN10" s="145">
        <f t="shared" ref="AN10:AS10" si="26">AVERAGE(AN6:AN7)</f>
        <v>0.93806673458991341</v>
      </c>
      <c r="AO10" s="145">
        <f t="shared" si="26"/>
        <v>0.93311258278145703</v>
      </c>
      <c r="AP10" s="145">
        <f t="shared" si="26"/>
        <v>0.96246434029546613</v>
      </c>
      <c r="AQ10" s="145">
        <f t="shared" si="26"/>
        <v>0.8444090677534386</v>
      </c>
      <c r="AR10" s="145">
        <f t="shared" si="26"/>
        <v>0.96525216505348954</v>
      </c>
      <c r="AS10" s="145">
        <f t="shared" si="26"/>
        <v>0.83953132959755472</v>
      </c>
      <c r="AT10" s="145">
        <f t="shared" ref="AT10:AU10" si="27">AVERAGE(AT6:AT7)</f>
        <v>0.77623535404992361</v>
      </c>
      <c r="AU10" s="145">
        <f t="shared" si="27"/>
        <v>0.94526872134488027</v>
      </c>
      <c r="AV10" s="144"/>
      <c r="BC10" t="s">
        <v>373</v>
      </c>
      <c r="BL10" s="145">
        <f t="shared" ref="BL10:BQ10" si="28">AVERAGE(BL6:BL7)</f>
        <v>0.88934240206073922</v>
      </c>
      <c r="BM10" s="145">
        <f t="shared" si="28"/>
        <v>0.99738594393333013</v>
      </c>
      <c r="BN10" s="145">
        <f t="shared" si="28"/>
        <v>0.98239719920095658</v>
      </c>
      <c r="BO10" s="145">
        <f t="shared" si="28"/>
        <v>0.85192007723164198</v>
      </c>
      <c r="BP10" s="145">
        <f t="shared" si="28"/>
        <v>0.95355387667360181</v>
      </c>
      <c r="BQ10" s="145">
        <f t="shared" si="28"/>
        <v>0.9355224080051795</v>
      </c>
      <c r="BR10" s="145">
        <f t="shared" ref="BR10:BS10" si="29">AVERAGE(BR6:BR7)</f>
        <v>0.98420472375633328</v>
      </c>
      <c r="BS10" s="145">
        <f t="shared" si="29"/>
        <v>0.99551736214313191</v>
      </c>
      <c r="BT10" s="144"/>
      <c r="CA10" t="s">
        <v>373</v>
      </c>
      <c r="CJ10" s="145">
        <f t="shared" ref="CJ10:CO10" si="30">AVERAGE(CJ6:CJ7)</f>
        <v>0.77274720060950997</v>
      </c>
      <c r="CK10" s="145">
        <f t="shared" si="30"/>
        <v>0.99717057842512657</v>
      </c>
      <c r="CL10" s="145">
        <f t="shared" si="30"/>
        <v>0.99943411568502527</v>
      </c>
      <c r="CM10" s="145">
        <f t="shared" si="30"/>
        <v>0.83375164359822862</v>
      </c>
      <c r="CN10" s="145">
        <f t="shared" si="30"/>
        <v>0.72276957154823263</v>
      </c>
      <c r="CO10" s="145">
        <f t="shared" si="30"/>
        <v>0.85342539324931854</v>
      </c>
      <c r="CP10" s="145">
        <f t="shared" ref="CP10:CQ10" si="31">AVERAGE(CP6:CP7)</f>
        <v>0.99915302453354193</v>
      </c>
      <c r="CQ10" s="145">
        <f t="shared" si="31"/>
        <v>0.98958138309865928</v>
      </c>
    </row>
    <row r="27" spans="1:95" x14ac:dyDescent="0.35">
      <c r="BV27" s="130"/>
    </row>
    <row r="28" spans="1:95" x14ac:dyDescent="0.35">
      <c r="C28" s="129" t="s">
        <v>52</v>
      </c>
      <c r="AA28" s="129" t="s">
        <v>370</v>
      </c>
      <c r="AY28" s="5" t="s">
        <v>498</v>
      </c>
      <c r="BW28" s="5" t="s">
        <v>209</v>
      </c>
    </row>
    <row r="29" spans="1:95" x14ac:dyDescent="0.35">
      <c r="C29" s="320" t="s">
        <v>374</v>
      </c>
      <c r="D29" s="320"/>
      <c r="E29" s="320"/>
      <c r="F29" s="133" t="s">
        <v>371</v>
      </c>
      <c r="G29" s="170" t="s">
        <v>375</v>
      </c>
      <c r="H29" s="136"/>
      <c r="I29" s="136"/>
      <c r="J29" s="136"/>
      <c r="K29" s="136"/>
      <c r="L29" s="136"/>
      <c r="M29" s="136"/>
      <c r="N29" s="136"/>
      <c r="P29" s="130" t="s">
        <v>450</v>
      </c>
      <c r="Q29" s="130"/>
      <c r="R29" s="130"/>
      <c r="S29" s="130"/>
      <c r="T29" s="130"/>
      <c r="U29" s="130"/>
      <c r="V29" s="130"/>
      <c r="W29" s="130"/>
      <c r="X29" s="130"/>
      <c r="AA29" s="320" t="s">
        <v>374</v>
      </c>
      <c r="AB29" s="320"/>
      <c r="AC29" s="320"/>
      <c r="AD29" s="133" t="s">
        <v>371</v>
      </c>
      <c r="AE29" s="170" t="s">
        <v>375</v>
      </c>
      <c r="AF29" s="136"/>
      <c r="AG29" s="136"/>
      <c r="AH29" s="136"/>
      <c r="AI29" s="136"/>
      <c r="AJ29" s="136"/>
      <c r="AK29" s="136"/>
      <c r="AL29" s="136"/>
      <c r="AN29" s="130" t="s">
        <v>450</v>
      </c>
      <c r="AO29" s="130"/>
      <c r="AP29" s="130"/>
      <c r="AQ29" s="130"/>
      <c r="AR29" s="130"/>
      <c r="AS29" s="130"/>
      <c r="AT29" s="130"/>
      <c r="AU29" s="130"/>
      <c r="AV29" s="130"/>
      <c r="AY29" s="320" t="s">
        <v>374</v>
      </c>
      <c r="AZ29" s="320"/>
      <c r="BA29" s="320"/>
      <c r="BB29" s="133" t="s">
        <v>371</v>
      </c>
      <c r="BC29" s="170" t="s">
        <v>375</v>
      </c>
      <c r="BD29" s="136"/>
      <c r="BE29" s="136"/>
      <c r="BF29" s="136"/>
      <c r="BG29" s="136"/>
      <c r="BH29" s="136"/>
      <c r="BI29" s="136"/>
      <c r="BJ29" s="136"/>
      <c r="BL29" s="130" t="s">
        <v>450</v>
      </c>
      <c r="BM29" s="130"/>
      <c r="BN29" s="130"/>
      <c r="BO29" s="130"/>
      <c r="BP29" s="130"/>
      <c r="BQ29" s="130"/>
      <c r="BR29" s="130"/>
      <c r="BS29" s="130"/>
      <c r="BT29" s="130"/>
      <c r="BW29" s="320" t="s">
        <v>374</v>
      </c>
      <c r="BX29" s="320"/>
      <c r="BY29" s="320"/>
      <c r="BZ29" s="133" t="s">
        <v>371</v>
      </c>
      <c r="CA29" s="170" t="s">
        <v>375</v>
      </c>
      <c r="CB29" s="136"/>
      <c r="CC29" s="136"/>
      <c r="CD29" s="136"/>
      <c r="CE29" s="136"/>
      <c r="CF29" s="136"/>
      <c r="CG29" s="136"/>
      <c r="CH29" s="136"/>
      <c r="CJ29" s="130" t="s">
        <v>450</v>
      </c>
    </row>
    <row r="30" spans="1:95" x14ac:dyDescent="0.35">
      <c r="C30" s="128">
        <v>43864</v>
      </c>
      <c r="D30" s="128">
        <v>43920</v>
      </c>
      <c r="E30" s="128">
        <v>43986</v>
      </c>
      <c r="F30" s="134">
        <v>43925</v>
      </c>
      <c r="G30" s="171">
        <v>44201</v>
      </c>
      <c r="H30" s="134">
        <v>44281</v>
      </c>
      <c r="I30" s="134">
        <v>44349</v>
      </c>
      <c r="J30" s="134">
        <v>44466</v>
      </c>
      <c r="K30" s="134">
        <v>44567</v>
      </c>
      <c r="L30" s="134">
        <v>44698</v>
      </c>
      <c r="M30" s="134">
        <v>44754</v>
      </c>
      <c r="N30" s="134">
        <v>44860</v>
      </c>
      <c r="O30" s="128"/>
      <c r="P30" s="212">
        <v>44201</v>
      </c>
      <c r="Q30" s="128">
        <v>44281</v>
      </c>
      <c r="R30" s="128">
        <v>44349</v>
      </c>
      <c r="S30" s="128">
        <v>44466</v>
      </c>
      <c r="T30" s="128">
        <v>44567</v>
      </c>
      <c r="U30" s="128">
        <v>44698</v>
      </c>
      <c r="V30" s="128">
        <v>44754</v>
      </c>
      <c r="W30" s="128"/>
      <c r="AA30" s="128">
        <v>43864</v>
      </c>
      <c r="AB30" s="128">
        <v>43920</v>
      </c>
      <c r="AC30" s="128">
        <v>43986</v>
      </c>
      <c r="AD30" s="134">
        <v>43925</v>
      </c>
      <c r="AE30" s="171">
        <v>44201</v>
      </c>
      <c r="AF30" s="134">
        <v>44281</v>
      </c>
      <c r="AG30" s="134">
        <v>44349</v>
      </c>
      <c r="AH30" s="134">
        <v>44466</v>
      </c>
      <c r="AI30" s="134">
        <v>44567</v>
      </c>
      <c r="AJ30" s="134">
        <v>44698</v>
      </c>
      <c r="AK30" s="134">
        <v>44754</v>
      </c>
      <c r="AL30" s="134">
        <v>44860</v>
      </c>
      <c r="AM30" s="128"/>
      <c r="AN30" s="212">
        <v>44201</v>
      </c>
      <c r="AO30" s="128">
        <v>44281</v>
      </c>
      <c r="AP30" s="128">
        <v>44349</v>
      </c>
      <c r="AQ30" s="128">
        <v>44466</v>
      </c>
      <c r="AR30" s="128">
        <v>44567</v>
      </c>
      <c r="AS30" s="128">
        <v>44698</v>
      </c>
      <c r="AT30" s="128">
        <v>44754</v>
      </c>
      <c r="AU30" s="128">
        <v>44860</v>
      </c>
      <c r="AY30" s="128">
        <v>43864</v>
      </c>
      <c r="AZ30" s="128">
        <v>43920</v>
      </c>
      <c r="BA30" s="128">
        <v>43986</v>
      </c>
      <c r="BB30" s="134">
        <v>43925</v>
      </c>
      <c r="BC30" s="171">
        <v>44201</v>
      </c>
      <c r="BD30" s="134">
        <v>44281</v>
      </c>
      <c r="BE30" s="134">
        <v>44349</v>
      </c>
      <c r="BF30" s="134">
        <v>44466</v>
      </c>
      <c r="BG30" s="134">
        <v>44567</v>
      </c>
      <c r="BH30" s="134">
        <v>44698</v>
      </c>
      <c r="BI30" s="134">
        <v>44754</v>
      </c>
      <c r="BJ30" s="134">
        <v>44860</v>
      </c>
      <c r="BK30" s="128"/>
      <c r="BL30" s="212">
        <v>44201</v>
      </c>
      <c r="BM30" s="128">
        <v>44281</v>
      </c>
      <c r="BN30" s="128">
        <v>44349</v>
      </c>
      <c r="BO30" s="128">
        <v>44466</v>
      </c>
      <c r="BP30" s="128">
        <v>44567</v>
      </c>
      <c r="BQ30" s="228">
        <v>44698</v>
      </c>
      <c r="BR30" s="228">
        <v>44754</v>
      </c>
      <c r="BS30" s="228">
        <v>44860</v>
      </c>
      <c r="BW30" s="128">
        <v>43864</v>
      </c>
      <c r="BX30" s="128">
        <v>43920</v>
      </c>
      <c r="BY30" s="128">
        <v>43986</v>
      </c>
      <c r="BZ30" s="134">
        <v>43925</v>
      </c>
      <c r="CA30" s="171">
        <v>44201</v>
      </c>
      <c r="CB30" s="134">
        <v>44281</v>
      </c>
      <c r="CC30" s="134">
        <v>44349</v>
      </c>
      <c r="CD30" s="134">
        <v>44466</v>
      </c>
      <c r="CE30" s="134">
        <v>44567</v>
      </c>
      <c r="CF30" s="134">
        <v>44698</v>
      </c>
      <c r="CG30" s="134">
        <v>44754</v>
      </c>
      <c r="CH30" s="134">
        <v>44860</v>
      </c>
      <c r="CI30" s="128"/>
      <c r="CJ30" s="212">
        <v>44201</v>
      </c>
      <c r="CK30" s="128">
        <v>44281</v>
      </c>
      <c r="CL30" s="128">
        <v>44349</v>
      </c>
      <c r="CM30" s="128">
        <v>44466</v>
      </c>
      <c r="CN30" s="128">
        <v>44567</v>
      </c>
      <c r="CO30" s="228">
        <v>44698</v>
      </c>
      <c r="CP30" s="128">
        <v>44754</v>
      </c>
      <c r="CQ30" s="128">
        <v>44860</v>
      </c>
    </row>
    <row r="31" spans="1:95" x14ac:dyDescent="0.35">
      <c r="A31" t="s">
        <v>372</v>
      </c>
      <c r="B31" s="126">
        <v>203</v>
      </c>
      <c r="C31" s="36">
        <v>86</v>
      </c>
      <c r="D31" s="23">
        <v>180</v>
      </c>
      <c r="E31" s="23">
        <v>170</v>
      </c>
      <c r="F31" s="138">
        <f>AVERAGE(C31:E31)</f>
        <v>145.33333333333334</v>
      </c>
      <c r="G31" s="172">
        <f>'Surface water'!V37</f>
        <v>11</v>
      </c>
      <c r="H31" s="142">
        <f>'Surface water'!W37</f>
        <v>7.6</v>
      </c>
      <c r="I31" s="142" t="str">
        <f>'Surface water'!X37</f>
        <v>&lt;0.20</v>
      </c>
      <c r="J31" s="142" t="str">
        <f>'Surface water'!Y37</f>
        <v>&lt;0.20</v>
      </c>
      <c r="K31" s="142">
        <f>'Surface water'!Z37</f>
        <v>4</v>
      </c>
      <c r="L31" s="142">
        <f>'Surface water'!AA37</f>
        <v>190</v>
      </c>
      <c r="M31" s="142">
        <f>'Surface water'!AB37</f>
        <v>320</v>
      </c>
      <c r="N31" s="142">
        <f>'Surface water'!AC37</f>
        <v>0.2</v>
      </c>
      <c r="O31" s="23"/>
      <c r="P31" s="132">
        <f t="shared" ref="P31:Q34" si="32">1-(G31/$F31)</f>
        <v>0.92431192660550465</v>
      </c>
      <c r="Q31" s="132">
        <f t="shared" si="32"/>
        <v>0.94770642201834865</v>
      </c>
      <c r="R31" s="132">
        <f>1-(0.2/$F31)</f>
        <v>0.99862385321100922</v>
      </c>
      <c r="S31" s="132">
        <f>1-(0.2/$F31)</f>
        <v>0.99862385321100922</v>
      </c>
      <c r="T31" s="132">
        <f t="shared" ref="T31:W34" si="33">1-(K31/$F31)</f>
        <v>0.97247706422018354</v>
      </c>
      <c r="U31" s="278">
        <f t="shared" si="33"/>
        <v>-0.30733944954128423</v>
      </c>
      <c r="V31" s="278">
        <f t="shared" si="33"/>
        <v>-1.2018348623853208</v>
      </c>
      <c r="W31" s="132">
        <f t="shared" si="33"/>
        <v>0.99862385321100922</v>
      </c>
      <c r="X31" s="132"/>
      <c r="Y31" t="s">
        <v>372</v>
      </c>
      <c r="Z31" s="126">
        <v>203</v>
      </c>
      <c r="AA31" s="36">
        <v>15</v>
      </c>
      <c r="AB31" s="23">
        <v>27</v>
      </c>
      <c r="AC31" s="23">
        <v>34</v>
      </c>
      <c r="AD31" s="135">
        <f>AVERAGE(AA31:AC31)</f>
        <v>25.333333333333332</v>
      </c>
      <c r="AE31" s="172">
        <f>'Surface water'!V40</f>
        <v>1.4</v>
      </c>
      <c r="AF31" s="142">
        <f>'Surface water'!W40</f>
        <v>0.77</v>
      </c>
      <c r="AG31" s="142" t="str">
        <f>'Surface water'!X40</f>
        <v>&lt;0.40</v>
      </c>
      <c r="AH31" s="142" t="str">
        <f>'Surface water'!Y40</f>
        <v>&lt;0.40</v>
      </c>
      <c r="AI31" s="142" t="str">
        <f>'Surface water'!Z40</f>
        <v>&lt;0.40</v>
      </c>
      <c r="AJ31" s="142">
        <f>'Surface water'!AA40</f>
        <v>22</v>
      </c>
      <c r="AK31" s="142">
        <f>'Surface water'!AB40</f>
        <v>35</v>
      </c>
      <c r="AL31" s="142">
        <f>'Surface water'!AC40</f>
        <v>0.4</v>
      </c>
      <c r="AM31" s="23"/>
      <c r="AN31" s="132">
        <f t="shared" ref="AN31:AO34" si="34">1-(AE31/$AD31)</f>
        <v>0.94473684210526321</v>
      </c>
      <c r="AO31" s="132">
        <f t="shared" si="34"/>
        <v>0.96960526315789475</v>
      </c>
      <c r="AP31" s="132">
        <f>1-(0.4/$AD31)</f>
        <v>0.98421052631578942</v>
      </c>
      <c r="AQ31" s="132">
        <f>1-(0.4/$AD31)</f>
        <v>0.98421052631578942</v>
      </c>
      <c r="AR31" s="132">
        <f>1-(0.4/$AD31)</f>
        <v>0.98421052631578942</v>
      </c>
      <c r="AS31" s="278">
        <f t="shared" ref="AS31:AU34" si="35">1-(AJ31/$AD31)</f>
        <v>0.13157894736842102</v>
      </c>
      <c r="AT31" s="278">
        <f t="shared" si="35"/>
        <v>-0.38157894736842102</v>
      </c>
      <c r="AU31" s="132">
        <f t="shared" si="35"/>
        <v>0.98421052631578942</v>
      </c>
      <c r="AV31" s="132"/>
      <c r="AW31" t="s">
        <v>372</v>
      </c>
      <c r="AX31" s="126">
        <v>203</v>
      </c>
      <c r="AY31" s="36">
        <f>'Surface water'!S34</f>
        <v>130</v>
      </c>
      <c r="AZ31" s="23">
        <f>'Surface water'!T34</f>
        <v>280</v>
      </c>
      <c r="BA31" s="23">
        <f>'Surface water'!U34</f>
        <v>280</v>
      </c>
      <c r="BB31" s="138">
        <f>AVERAGE(AY31:BA31)</f>
        <v>230</v>
      </c>
      <c r="BC31" s="172" t="str">
        <f>'Surface water'!V34</f>
        <v>&lt;50</v>
      </c>
      <c r="BD31" s="142" t="str">
        <f>'Surface water'!W34</f>
        <v>&lt;50</v>
      </c>
      <c r="BE31" s="142" t="str">
        <f>'Surface water'!X34</f>
        <v>&lt;50</v>
      </c>
      <c r="BF31" s="142" t="str">
        <f>'Surface water'!Y34</f>
        <v>&lt;50</v>
      </c>
      <c r="BG31" s="142" t="str">
        <f>'Surface water'!Z34</f>
        <v>&lt;50</v>
      </c>
      <c r="BH31" s="142">
        <f>'Surface water'!AA34</f>
        <v>280</v>
      </c>
      <c r="BI31" s="142">
        <f>'Surface water'!AB34</f>
        <v>460</v>
      </c>
      <c r="BJ31" s="142" t="str">
        <f>'Surface water'!AC34</f>
        <v>&lt;80</v>
      </c>
      <c r="BK31" s="23"/>
      <c r="BL31" s="132">
        <f>1-(10/$BB31)</f>
        <v>0.95652173913043481</v>
      </c>
      <c r="BM31" s="132">
        <f>1-(10/$BB31)</f>
        <v>0.95652173913043481</v>
      </c>
      <c r="BN31" s="132">
        <f>1-(10/$BB31)</f>
        <v>0.95652173913043481</v>
      </c>
      <c r="BO31" s="132">
        <f>1-(10/$BB31)</f>
        <v>0.95652173913043481</v>
      </c>
      <c r="BP31" s="132">
        <f>1-(10/$BB31)</f>
        <v>0.95652173913043481</v>
      </c>
      <c r="BQ31" s="278">
        <f>1-(BH31/$BB31)</f>
        <v>-0.21739130434782616</v>
      </c>
      <c r="BR31" s="278">
        <f>1-(BI31/$BB31)</f>
        <v>-1</v>
      </c>
      <c r="BS31" s="132">
        <f>1-(10/$BB31)</f>
        <v>0.95652173913043481</v>
      </c>
      <c r="BT31" s="132"/>
      <c r="BU31" t="s">
        <v>372</v>
      </c>
      <c r="BV31" s="126">
        <v>203</v>
      </c>
      <c r="BW31" s="124">
        <f>'Surface water'!S15</f>
        <v>2</v>
      </c>
      <c r="BX31" s="195">
        <f>'Surface water'!T15</f>
        <v>0.5</v>
      </c>
      <c r="BY31" s="195">
        <f>'Surface water'!U15</f>
        <v>0.42</v>
      </c>
      <c r="BZ31" s="196">
        <f>AVERAGE(BW31:BY31)</f>
        <v>0.97333333333333327</v>
      </c>
      <c r="CA31" s="197">
        <f>'Surface water'!V15</f>
        <v>2.1000000000000001E-2</v>
      </c>
      <c r="CB31" s="220">
        <f>'Surface water'!W15</f>
        <v>2.5999999999999999E-2</v>
      </c>
      <c r="CC31" s="220">
        <f>'Surface water'!X15</f>
        <v>2.5000000000000001E-2</v>
      </c>
      <c r="CD31" s="220">
        <f>'Surface water'!Y15</f>
        <v>0.15</v>
      </c>
      <c r="CE31" s="220" t="str">
        <f>'Surface water'!Z15</f>
        <v>&lt;0.010</v>
      </c>
      <c r="CF31" s="220">
        <f>'Surface water'!AA15</f>
        <v>6.3E-2</v>
      </c>
      <c r="CG31" s="220">
        <f>'Surface water'!AB15</f>
        <v>0.18</v>
      </c>
      <c r="CH31" s="220">
        <f>'Surface water'!AC15</f>
        <v>2.3E-2</v>
      </c>
      <c r="CI31" s="232"/>
      <c r="CJ31" s="132">
        <f t="shared" ref="CJ31:CM34" si="36">1-(CA31/$BZ31)</f>
        <v>0.97842465753424657</v>
      </c>
      <c r="CK31" s="132">
        <f t="shared" si="36"/>
        <v>0.97328767123287674</v>
      </c>
      <c r="CL31" s="132">
        <f t="shared" si="36"/>
        <v>0.97431506849315064</v>
      </c>
      <c r="CM31" s="132">
        <f t="shared" si="36"/>
        <v>0.84589041095890405</v>
      </c>
      <c r="CN31" s="132">
        <f>1-(0.01/$BZ31)</f>
        <v>0.98972602739726023</v>
      </c>
      <c r="CO31" s="132">
        <f t="shared" ref="CO31:CQ34" si="37">1-(CF31/$BZ31)</f>
        <v>0.9352739726027397</v>
      </c>
      <c r="CP31" s="132">
        <f t="shared" si="37"/>
        <v>0.81506849315068486</v>
      </c>
      <c r="CQ31" s="132">
        <f t="shared" si="37"/>
        <v>0.97636986301369866</v>
      </c>
    </row>
    <row r="32" spans="1:95" x14ac:dyDescent="0.35">
      <c r="A32" t="s">
        <v>372</v>
      </c>
      <c r="B32" s="126">
        <v>205</v>
      </c>
      <c r="C32" s="36">
        <v>76</v>
      </c>
      <c r="D32" s="23">
        <v>100</v>
      </c>
      <c r="E32" s="23">
        <v>320</v>
      </c>
      <c r="F32" s="138">
        <f>AVERAGE(C32:E32)</f>
        <v>165.33333333333334</v>
      </c>
      <c r="G32" s="172">
        <f>'Surface water'!AJ37</f>
        <v>39</v>
      </c>
      <c r="H32" s="142">
        <f>'Surface water'!AK37</f>
        <v>33</v>
      </c>
      <c r="I32" s="142">
        <f>'Surface water'!AL37</f>
        <v>3.9</v>
      </c>
      <c r="J32" s="142">
        <f>'Surface water'!AM37</f>
        <v>76</v>
      </c>
      <c r="K32" s="142">
        <f>'Surface water'!AN37</f>
        <v>33</v>
      </c>
      <c r="L32" s="142">
        <f>'Surface water'!AO37</f>
        <v>35</v>
      </c>
      <c r="M32" s="142">
        <f>'Surface water'!AP37</f>
        <v>330</v>
      </c>
      <c r="N32" s="142">
        <f>'Surface water'!AQ37</f>
        <v>120</v>
      </c>
      <c r="O32" s="23"/>
      <c r="P32" s="132">
        <f t="shared" si="32"/>
        <v>0.76411290322580649</v>
      </c>
      <c r="Q32" s="132">
        <f t="shared" si="32"/>
        <v>0.80040322580645162</v>
      </c>
      <c r="R32" s="132">
        <f t="shared" ref="R32:S34" si="38">1-(I32/$F32)</f>
        <v>0.97641129032258067</v>
      </c>
      <c r="S32" s="132">
        <f t="shared" si="38"/>
        <v>0.54032258064516125</v>
      </c>
      <c r="T32" s="132">
        <f t="shared" si="33"/>
        <v>0.80040322580645162</v>
      </c>
      <c r="U32" s="132">
        <f t="shared" si="33"/>
        <v>0.78830645161290325</v>
      </c>
      <c r="V32" s="278">
        <f t="shared" si="33"/>
        <v>-0.99596774193548376</v>
      </c>
      <c r="W32" s="278">
        <f t="shared" si="33"/>
        <v>0.27419354838709686</v>
      </c>
      <c r="X32" s="132"/>
      <c r="Y32" t="s">
        <v>372</v>
      </c>
      <c r="Z32" s="126">
        <v>205</v>
      </c>
      <c r="AA32" s="36">
        <v>15</v>
      </c>
      <c r="AB32" s="23">
        <v>21</v>
      </c>
      <c r="AC32" s="39">
        <v>69</v>
      </c>
      <c r="AD32" s="135">
        <f>AVERAGE(AA32:AC32)</f>
        <v>35</v>
      </c>
      <c r="AE32" s="173">
        <f>'Surface water'!AJ40</f>
        <v>5.2</v>
      </c>
      <c r="AF32" s="169">
        <f>'Surface water'!AK40</f>
        <v>4.0999999999999996</v>
      </c>
      <c r="AG32" s="169">
        <f>'Surface water'!AL40</f>
        <v>1.5</v>
      </c>
      <c r="AH32" s="169">
        <f>'Surface water'!AM40</f>
        <v>12</v>
      </c>
      <c r="AI32" s="169">
        <f>'Surface water'!AN40</f>
        <v>4</v>
      </c>
      <c r="AJ32" s="169">
        <f>'Surface water'!AO40</f>
        <v>11</v>
      </c>
      <c r="AK32" s="169">
        <f>'Surface water'!AP40</f>
        <v>37</v>
      </c>
      <c r="AL32" s="169">
        <f>'Surface water'!AQ40</f>
        <v>14</v>
      </c>
      <c r="AM32" s="39"/>
      <c r="AN32" s="132">
        <f t="shared" si="34"/>
        <v>0.85142857142857142</v>
      </c>
      <c r="AO32" s="132">
        <f t="shared" si="34"/>
        <v>0.8828571428571429</v>
      </c>
      <c r="AP32" s="132">
        <f t="shared" ref="AP32:AR34" si="39">1-(AG32/$AD32)</f>
        <v>0.95714285714285718</v>
      </c>
      <c r="AQ32" s="132">
        <f t="shared" si="39"/>
        <v>0.65714285714285714</v>
      </c>
      <c r="AR32" s="132">
        <f t="shared" si="39"/>
        <v>0.88571428571428568</v>
      </c>
      <c r="AS32" s="132">
        <f t="shared" si="35"/>
        <v>0.68571428571428572</v>
      </c>
      <c r="AT32" s="278">
        <f t="shared" si="35"/>
        <v>-5.7142857142857162E-2</v>
      </c>
      <c r="AU32" s="132">
        <f t="shared" si="35"/>
        <v>0.6</v>
      </c>
      <c r="AV32" s="132"/>
      <c r="AW32" t="s">
        <v>372</v>
      </c>
      <c r="AX32" s="126">
        <v>205</v>
      </c>
      <c r="AY32" s="36">
        <f>'Surface water'!AG34</f>
        <v>110</v>
      </c>
      <c r="AZ32" s="23">
        <f>'Surface water'!AH34</f>
        <v>160</v>
      </c>
      <c r="BA32" s="23">
        <f>'Surface water'!AI34</f>
        <v>530</v>
      </c>
      <c r="BB32" s="138">
        <f>AVERAGE(AY32:BA32)</f>
        <v>266.66666666666669</v>
      </c>
      <c r="BC32" s="172">
        <f>'Surface water'!AJ34</f>
        <v>44</v>
      </c>
      <c r="BD32" s="142">
        <f>'Surface water'!AK34</f>
        <v>39</v>
      </c>
      <c r="BE32" s="142" t="str">
        <f>'Surface water'!AL34</f>
        <v>&lt;50</v>
      </c>
      <c r="BF32" s="142">
        <f>'Surface water'!AM34</f>
        <v>110</v>
      </c>
      <c r="BG32" s="142">
        <f>'Surface water'!AN34</f>
        <v>51</v>
      </c>
      <c r="BH32" s="142" t="str">
        <f>'Surface water'!AO34</f>
        <v>&lt;80</v>
      </c>
      <c r="BI32" s="142">
        <f>'Surface water'!AP34</f>
        <v>480</v>
      </c>
      <c r="BJ32" s="142">
        <f>'Surface water'!AQ34</f>
        <v>180</v>
      </c>
      <c r="BK32" s="23"/>
      <c r="BL32" s="132">
        <f t="shared" ref="BL32:BM34" si="40">1-(BC32/$BB32)</f>
        <v>0.83499999999999996</v>
      </c>
      <c r="BM32" s="132">
        <f t="shared" si="40"/>
        <v>0.85375000000000001</v>
      </c>
      <c r="BN32" s="132">
        <f>1-(10/$BB32)</f>
        <v>0.96250000000000002</v>
      </c>
      <c r="BO32" s="132">
        <f>1-(BF32/$BB32)</f>
        <v>0.58750000000000002</v>
      </c>
      <c r="BP32" s="132">
        <f>1-(BG32/$BB32)</f>
        <v>0.80875000000000008</v>
      </c>
      <c r="BQ32" s="132">
        <f>1-(80/$BB32)</f>
        <v>0.7</v>
      </c>
      <c r="BR32" s="278">
        <f>1-(BI32/$BB32)</f>
        <v>-0.79999999999999982</v>
      </c>
      <c r="BS32" s="132">
        <f>1-(BJ32/$BB32)</f>
        <v>0.32500000000000007</v>
      </c>
      <c r="BT32" s="132"/>
      <c r="BU32" t="s">
        <v>372</v>
      </c>
      <c r="BV32" s="126">
        <v>205</v>
      </c>
      <c r="BW32" s="124">
        <f>'Surface water'!AG15</f>
        <v>1.2</v>
      </c>
      <c r="BX32" s="195">
        <f>'Surface water'!AH15</f>
        <v>0.86</v>
      </c>
      <c r="BY32" s="195">
        <f>'Surface water'!AI15</f>
        <v>0.56999999999999995</v>
      </c>
      <c r="BZ32" s="196">
        <f>AVERAGE(BW32:BY32)</f>
        <v>0.87666666666666659</v>
      </c>
      <c r="CA32" s="197">
        <f>'Surface water'!AJ15</f>
        <v>9.5000000000000001E-2</v>
      </c>
      <c r="CB32" s="220">
        <f>'Surface water'!AK15</f>
        <v>1.4E-2</v>
      </c>
      <c r="CC32" s="220">
        <f>'Surface water'!AL15</f>
        <v>3.3000000000000002E-2</v>
      </c>
      <c r="CD32" s="220">
        <f>'Surface water'!AM15</f>
        <v>0.4</v>
      </c>
      <c r="CE32" s="220" t="str">
        <f>'Surface water'!AN15</f>
        <v>&lt;0.050</v>
      </c>
      <c r="CF32" s="220">
        <f>'Surface water'!AO15</f>
        <v>0.1</v>
      </c>
      <c r="CG32" s="220">
        <f>'Surface water'!AP15</f>
        <v>0.16</v>
      </c>
      <c r="CH32" s="220">
        <f>'Surface water'!AQ15</f>
        <v>0.13</v>
      </c>
      <c r="CI32" s="232"/>
      <c r="CJ32" s="132">
        <f t="shared" si="36"/>
        <v>0.89163498098859317</v>
      </c>
      <c r="CK32" s="132">
        <f t="shared" si="36"/>
        <v>0.98403041825095061</v>
      </c>
      <c r="CL32" s="132">
        <f t="shared" si="36"/>
        <v>0.96235741444866918</v>
      </c>
      <c r="CM32" s="132">
        <f t="shared" si="36"/>
        <v>0.54372623574144474</v>
      </c>
      <c r="CN32" s="132">
        <f>1-(0.01/$BZ32)</f>
        <v>0.98859315589353614</v>
      </c>
      <c r="CO32" s="132">
        <f t="shared" si="37"/>
        <v>0.88593155893536124</v>
      </c>
      <c r="CP32" s="132">
        <f t="shared" si="37"/>
        <v>0.81749049429657794</v>
      </c>
      <c r="CQ32" s="132">
        <f t="shared" si="37"/>
        <v>0.85171102661596954</v>
      </c>
    </row>
    <row r="33" spans="1:95" x14ac:dyDescent="0.35">
      <c r="A33" t="s">
        <v>373</v>
      </c>
      <c r="B33" s="127" t="s">
        <v>368</v>
      </c>
      <c r="C33" s="23">
        <v>67</v>
      </c>
      <c r="D33" s="23">
        <v>83</v>
      </c>
      <c r="E33" s="23">
        <v>92</v>
      </c>
      <c r="F33" s="135">
        <f>AVERAGE(C33:E33)</f>
        <v>80.666666666666671</v>
      </c>
      <c r="G33" s="172">
        <f>Table22[[#This Row],[206-4]]</f>
        <v>0</v>
      </c>
      <c r="H33" s="142">
        <f>'Surface water'!AV37</f>
        <v>31</v>
      </c>
      <c r="I33" s="142">
        <f>'Surface water'!AW37</f>
        <v>53</v>
      </c>
      <c r="J33" s="142">
        <f>'Surface water'!AX37</f>
        <v>62</v>
      </c>
      <c r="K33" s="142">
        <f>'Surface water'!AY37</f>
        <v>20</v>
      </c>
      <c r="L33" s="142">
        <f>'Surface water'!AZ37</f>
        <v>43</v>
      </c>
      <c r="M33" s="142">
        <f>'Surface water'!BA37</f>
        <v>33</v>
      </c>
      <c r="N33" s="142">
        <f>'Surface water'!BB37</f>
        <v>27</v>
      </c>
      <c r="O33" s="23"/>
      <c r="P33" s="132">
        <f t="shared" si="32"/>
        <v>1</v>
      </c>
      <c r="Q33" s="132">
        <f t="shared" si="32"/>
        <v>0.61570247933884303</v>
      </c>
      <c r="R33" s="132">
        <f t="shared" si="38"/>
        <v>0.34297520661157033</v>
      </c>
      <c r="S33" s="278">
        <f t="shared" si="38"/>
        <v>0.23140495867768596</v>
      </c>
      <c r="T33" s="132">
        <f t="shared" si="33"/>
        <v>0.75206611570247939</v>
      </c>
      <c r="U33" s="132">
        <f t="shared" si="33"/>
        <v>0.46694214876033058</v>
      </c>
      <c r="V33" s="132">
        <f t="shared" si="33"/>
        <v>0.59090909090909094</v>
      </c>
      <c r="W33" s="132">
        <f t="shared" si="33"/>
        <v>0.66528925619834711</v>
      </c>
      <c r="X33" s="132"/>
      <c r="Y33" t="s">
        <v>373</v>
      </c>
      <c r="Z33" s="127" t="s">
        <v>368</v>
      </c>
      <c r="AA33" s="23">
        <v>13</v>
      </c>
      <c r="AB33" s="23">
        <v>17</v>
      </c>
      <c r="AC33" s="23">
        <v>35</v>
      </c>
      <c r="AD33" s="135">
        <f>AVERAGE(AA33:AC33)</f>
        <v>21.666666666666668</v>
      </c>
      <c r="AE33" s="172">
        <f>'Surface water'!AU40</f>
        <v>5.0999999999999996</v>
      </c>
      <c r="AF33" s="142">
        <f>'Surface water'!AV40</f>
        <v>3.8</v>
      </c>
      <c r="AG33" s="142">
        <f>'Surface water'!AW40</f>
        <v>11</v>
      </c>
      <c r="AH33" s="142">
        <f>'Surface water'!AX40</f>
        <v>9.4</v>
      </c>
      <c r="AI33" s="142">
        <f>'Surface water'!AY40</f>
        <v>2.8</v>
      </c>
      <c r="AJ33" s="142">
        <f>'Surface water'!AZ40</f>
        <v>5.5</v>
      </c>
      <c r="AK33" s="142">
        <f>'Surface water'!BA40</f>
        <v>3.9</v>
      </c>
      <c r="AL33" s="142">
        <f>'Surface water'!BB40</f>
        <v>3.1</v>
      </c>
      <c r="AM33" s="23"/>
      <c r="AN33" s="132">
        <f t="shared" si="34"/>
        <v>0.7646153846153847</v>
      </c>
      <c r="AO33" s="132">
        <f t="shared" si="34"/>
        <v>0.82461538461538464</v>
      </c>
      <c r="AP33" s="132">
        <f t="shared" si="39"/>
        <v>0.49230769230769234</v>
      </c>
      <c r="AQ33" s="132">
        <f t="shared" si="39"/>
        <v>0.56615384615384623</v>
      </c>
      <c r="AR33" s="132">
        <f t="shared" si="39"/>
        <v>0.87076923076923074</v>
      </c>
      <c r="AS33" s="132">
        <f t="shared" si="35"/>
        <v>0.74615384615384617</v>
      </c>
      <c r="AT33" s="132">
        <f t="shared" si="35"/>
        <v>0.82000000000000006</v>
      </c>
      <c r="AU33" s="132">
        <f t="shared" si="35"/>
        <v>0.8569230769230769</v>
      </c>
      <c r="AV33" s="132"/>
      <c r="AW33" t="s">
        <v>373</v>
      </c>
      <c r="AX33" s="127" t="s">
        <v>368</v>
      </c>
      <c r="AY33" s="36">
        <f>'Surface water'!AR34</f>
        <v>100</v>
      </c>
      <c r="AZ33" s="23">
        <f>'Surface water'!AS34</f>
        <v>130</v>
      </c>
      <c r="BA33" s="23">
        <f>'Surface water'!AT34</f>
        <v>190</v>
      </c>
      <c r="BB33" s="138">
        <f>AVERAGE(AY33:BA33)</f>
        <v>140</v>
      </c>
      <c r="BC33" s="172">
        <f>'Surface water'!AU34</f>
        <v>43</v>
      </c>
      <c r="BD33" s="142">
        <f>'Surface water'!AV34</f>
        <v>37</v>
      </c>
      <c r="BE33" s="142">
        <f>'Surface water'!AW34</f>
        <v>60</v>
      </c>
      <c r="BF33" s="142">
        <f>'Surface water'!AX34</f>
        <v>90</v>
      </c>
      <c r="BG33" s="142" t="str">
        <f>'Surface water'!AY34</f>
        <v>&lt;50</v>
      </c>
      <c r="BH33" s="142" t="str">
        <f>'Surface water'!AZ34</f>
        <v>&lt;80</v>
      </c>
      <c r="BI33" s="142" t="str">
        <f>'Surface water'!BA34</f>
        <v>&lt;80</v>
      </c>
      <c r="BJ33" s="142" t="str">
        <f>'Surface water'!BB34</f>
        <v>&lt;80</v>
      </c>
      <c r="BK33" s="23"/>
      <c r="BL33" s="132">
        <f t="shared" si="40"/>
        <v>0.69285714285714284</v>
      </c>
      <c r="BM33" s="132">
        <f t="shared" si="40"/>
        <v>0.73571428571428577</v>
      </c>
      <c r="BN33" s="132">
        <f>1-(BE33/$BB33)</f>
        <v>0.5714285714285714</v>
      </c>
      <c r="BO33" s="132">
        <f>1-(BF33/$BB33)</f>
        <v>0.3571428571428571</v>
      </c>
      <c r="BP33" s="132">
        <f>1-(10/$BB33)</f>
        <v>0.9285714285714286</v>
      </c>
      <c r="BQ33" s="132">
        <f>1-(10/$BB33)</f>
        <v>0.9285714285714286</v>
      </c>
      <c r="BR33" s="132">
        <f>1-(10/$BB33)</f>
        <v>0.9285714285714286</v>
      </c>
      <c r="BS33" s="132">
        <f>1-(10/$BB33)</f>
        <v>0.9285714285714286</v>
      </c>
      <c r="BT33" s="132"/>
      <c r="BU33" t="s">
        <v>373</v>
      </c>
      <c r="BV33" s="127" t="s">
        <v>368</v>
      </c>
      <c r="BW33" s="125">
        <f>'Surface water'!AR15</f>
        <v>1.2</v>
      </c>
      <c r="BX33" s="131">
        <f>'Surface water'!AS15</f>
        <v>0.87</v>
      </c>
      <c r="BY33" s="131">
        <f>'Surface water'!AT15</f>
        <v>0.22</v>
      </c>
      <c r="BZ33" s="196">
        <f>AVERAGE(BW33:BY33)</f>
        <v>0.76333333333333331</v>
      </c>
      <c r="CA33" s="180">
        <f>'Surface water'!AU15</f>
        <v>0.13</v>
      </c>
      <c r="CB33" s="220">
        <f>'Surface water'!AV15</f>
        <v>6.6000000000000003E-2</v>
      </c>
      <c r="CC33" s="220">
        <f>'Surface water'!AW15</f>
        <v>2.9000000000000001E-2</v>
      </c>
      <c r="CD33" s="220">
        <f>'Surface water'!AX15</f>
        <v>0.32</v>
      </c>
      <c r="CE33" s="220">
        <f>'Surface water'!AY15</f>
        <v>6.2E-2</v>
      </c>
      <c r="CF33" s="220">
        <f>'Surface water'!AZ15</f>
        <v>0.11</v>
      </c>
      <c r="CG33" s="220">
        <f>'Surface water'!BA15</f>
        <v>0.14000000000000001</v>
      </c>
      <c r="CH33" s="220">
        <f>'Surface water'!BB15</f>
        <v>0.01</v>
      </c>
      <c r="CI33" s="232"/>
      <c r="CJ33" s="132">
        <f t="shared" si="36"/>
        <v>0.82969432314410474</v>
      </c>
      <c r="CK33" s="132">
        <f t="shared" si="36"/>
        <v>0.91353711790393011</v>
      </c>
      <c r="CL33" s="132">
        <f t="shared" si="36"/>
        <v>0.96200873362445416</v>
      </c>
      <c r="CM33" s="132">
        <f t="shared" si="36"/>
        <v>0.58078602620087327</v>
      </c>
      <c r="CN33" s="132">
        <f>1-(CE33/$BZ33)</f>
        <v>0.91877729257641927</v>
      </c>
      <c r="CO33" s="132">
        <f t="shared" si="37"/>
        <v>0.85589519650655022</v>
      </c>
      <c r="CP33" s="132">
        <f t="shared" si="37"/>
        <v>0.81659388646288211</v>
      </c>
      <c r="CQ33" s="132">
        <f t="shared" si="37"/>
        <v>0.98689956331877726</v>
      </c>
    </row>
    <row r="34" spans="1:95" x14ac:dyDescent="0.35">
      <c r="A34" t="s">
        <v>373</v>
      </c>
      <c r="B34" s="127" t="s">
        <v>369</v>
      </c>
      <c r="C34" s="36">
        <v>65</v>
      </c>
      <c r="D34" s="23">
        <v>75</v>
      </c>
      <c r="E34" s="23">
        <v>35</v>
      </c>
      <c r="F34" s="135">
        <f>AVERAGE(C34:E34)</f>
        <v>58.333333333333336</v>
      </c>
      <c r="G34" s="172">
        <f>'Surface water'!BF37</f>
        <v>41</v>
      </c>
      <c r="H34" s="142">
        <f>'Surface water'!BG37</f>
        <v>27</v>
      </c>
      <c r="I34" s="142">
        <f>'Surface water'!BH37</f>
        <v>55</v>
      </c>
      <c r="J34" s="142">
        <f>'Surface water'!BI37</f>
        <v>35</v>
      </c>
      <c r="K34" s="142">
        <f>'Surface water'!BJ37</f>
        <v>19</v>
      </c>
      <c r="L34" s="142">
        <f>'Surface water'!BK37</f>
        <v>28</v>
      </c>
      <c r="M34" s="142">
        <f>'Surface water'!BL37</f>
        <v>48</v>
      </c>
      <c r="N34" s="142">
        <f>'Surface water'!BM37</f>
        <v>18</v>
      </c>
      <c r="O34" s="23"/>
      <c r="P34" s="132">
        <f t="shared" si="32"/>
        <v>0.29714285714285715</v>
      </c>
      <c r="Q34" s="132">
        <f t="shared" si="32"/>
        <v>0.53714285714285714</v>
      </c>
      <c r="R34" s="278">
        <f t="shared" si="38"/>
        <v>5.7142857142857162E-2</v>
      </c>
      <c r="S34" s="132">
        <f t="shared" si="38"/>
        <v>0.4</v>
      </c>
      <c r="T34" s="132">
        <f t="shared" si="33"/>
        <v>0.67428571428571438</v>
      </c>
      <c r="U34" s="132">
        <f t="shared" si="33"/>
        <v>0.52</v>
      </c>
      <c r="V34" s="278">
        <f t="shared" si="33"/>
        <v>0.17714285714285716</v>
      </c>
      <c r="W34" s="132">
        <f t="shared" si="33"/>
        <v>0.6914285714285715</v>
      </c>
      <c r="X34" s="132"/>
      <c r="Y34" t="s">
        <v>373</v>
      </c>
      <c r="Z34" s="127" t="s">
        <v>369</v>
      </c>
      <c r="AA34" s="36">
        <v>13</v>
      </c>
      <c r="AB34" s="23">
        <v>16</v>
      </c>
      <c r="AC34" s="23">
        <v>17</v>
      </c>
      <c r="AD34" s="135">
        <f>AVERAGE(AA34:AC34)</f>
        <v>15.333333333333334</v>
      </c>
      <c r="AE34" s="172">
        <f>'Surface water'!BF40</f>
        <v>5.7</v>
      </c>
      <c r="AF34" s="142">
        <f>'Surface water'!BG40</f>
        <v>3.6</v>
      </c>
      <c r="AG34" s="142">
        <f>'Surface water'!BH40</f>
        <v>12</v>
      </c>
      <c r="AH34" s="142">
        <f>'Surface water'!BI40</f>
        <v>6.1</v>
      </c>
      <c r="AI34" s="142">
        <f>'Surface water'!BJ40</f>
        <v>2.9</v>
      </c>
      <c r="AJ34" s="142">
        <f>'Surface water'!BK40</f>
        <v>8.6</v>
      </c>
      <c r="AK34" s="142">
        <f>'Surface water'!BL40</f>
        <v>5.7</v>
      </c>
      <c r="AL34" s="142">
        <f>'Surface water'!BM40</f>
        <v>2.2000000000000002</v>
      </c>
      <c r="AM34" s="23"/>
      <c r="AN34" s="132">
        <f t="shared" si="34"/>
        <v>0.62826086956521743</v>
      </c>
      <c r="AO34" s="132">
        <f t="shared" si="34"/>
        <v>0.76521739130434785</v>
      </c>
      <c r="AP34" s="278">
        <f t="shared" si="39"/>
        <v>0.21739130434782616</v>
      </c>
      <c r="AQ34" s="132">
        <f t="shared" si="39"/>
        <v>0.60217391304347823</v>
      </c>
      <c r="AR34" s="132">
        <f t="shared" si="39"/>
        <v>0.81086956521739129</v>
      </c>
      <c r="AS34" s="132">
        <f t="shared" si="35"/>
        <v>0.43913043478260871</v>
      </c>
      <c r="AT34" s="132">
        <f t="shared" si="35"/>
        <v>0.62826086956521743</v>
      </c>
      <c r="AU34" s="132">
        <f t="shared" si="35"/>
        <v>0.85652173913043472</v>
      </c>
      <c r="AV34" s="132"/>
      <c r="AW34" t="s">
        <v>373</v>
      </c>
      <c r="AX34" s="127" t="s">
        <v>369</v>
      </c>
      <c r="AY34" s="36">
        <f>'Surface water'!BC34</f>
        <v>99</v>
      </c>
      <c r="AZ34" s="23">
        <f>'Surface water'!BD34</f>
        <v>120</v>
      </c>
      <c r="BA34" s="23">
        <f>'Surface water'!BE34</f>
        <v>93</v>
      </c>
      <c r="BB34" s="138">
        <f>AVERAGE(AY34:BA34)</f>
        <v>104</v>
      </c>
      <c r="BC34" s="172">
        <f>'Surface water'!BF34</f>
        <v>49</v>
      </c>
      <c r="BD34" s="142">
        <f>'Surface water'!BG34</f>
        <v>32</v>
      </c>
      <c r="BE34" s="142">
        <f>'Surface water'!BH34</f>
        <v>86</v>
      </c>
      <c r="BF34" s="142">
        <f>'Surface water'!BI34</f>
        <v>40</v>
      </c>
      <c r="BG34" s="142" t="str">
        <f>'Surface water'!BJ34</f>
        <v>&lt;50</v>
      </c>
      <c r="BH34" s="142">
        <f>'Surface water'!BK34</f>
        <v>95</v>
      </c>
      <c r="BI34" s="142">
        <f>'Surface water'!BL34</f>
        <v>84</v>
      </c>
      <c r="BJ34" s="142" t="str">
        <f>'Surface water'!BM34</f>
        <v>&lt;80</v>
      </c>
      <c r="BK34" s="23"/>
      <c r="BL34" s="132">
        <f t="shared" si="40"/>
        <v>0.52884615384615385</v>
      </c>
      <c r="BM34" s="132">
        <f t="shared" si="40"/>
        <v>0.69230769230769229</v>
      </c>
      <c r="BN34" s="278">
        <f>1-(BE34/$BB34)</f>
        <v>0.17307692307692313</v>
      </c>
      <c r="BO34" s="132">
        <f>1-(BF34/$BB34)</f>
        <v>0.61538461538461542</v>
      </c>
      <c r="BP34" s="132">
        <f>1-(10/$BB34)</f>
        <v>0.90384615384615385</v>
      </c>
      <c r="BQ34" s="278">
        <f>1-(BH34/$BB34)</f>
        <v>8.6538461538461564E-2</v>
      </c>
      <c r="BR34" s="278">
        <f>1-(BI34/$BB34)</f>
        <v>0.19230769230769229</v>
      </c>
      <c r="BS34" s="230">
        <f>1-(10/$BB34)</f>
        <v>0.90384615384615385</v>
      </c>
      <c r="BT34" s="132"/>
      <c r="BU34" t="s">
        <v>373</v>
      </c>
      <c r="BV34" s="127" t="s">
        <v>369</v>
      </c>
      <c r="BW34" s="124">
        <f>'Surface water'!BC15</f>
        <v>1.3</v>
      </c>
      <c r="BX34" s="124">
        <f>'Surface water'!BD15</f>
        <v>1.6</v>
      </c>
      <c r="BY34" s="195">
        <f>'Surface water'!BE15</f>
        <v>0.2</v>
      </c>
      <c r="BZ34" s="196">
        <f>AVERAGE(BW34:BY34)</f>
        <v>1.0333333333333334</v>
      </c>
      <c r="CA34" s="180">
        <f>'Surface water'!BF15</f>
        <v>0.17</v>
      </c>
      <c r="CB34" s="220">
        <f>'Surface water'!BG15</f>
        <v>1.4E-2</v>
      </c>
      <c r="CC34" s="220">
        <f>'Surface water'!BH15</f>
        <v>4.4999999999999998E-2</v>
      </c>
      <c r="CD34" s="220">
        <f>'Surface water'!BI15</f>
        <v>0.27</v>
      </c>
      <c r="CE34" s="220">
        <f>'Surface water'!BJ15</f>
        <v>7.4999999999999997E-2</v>
      </c>
      <c r="CF34" s="220">
        <f>'Surface water'!BK15</f>
        <v>8.5000000000000006E-2</v>
      </c>
      <c r="CG34" s="220">
        <f>'Surface water'!BL15</f>
        <v>7.1999999999999995E-2</v>
      </c>
      <c r="CH34" s="220">
        <f>'Surface water'!BM15</f>
        <v>0.02</v>
      </c>
      <c r="CI34" s="232"/>
      <c r="CJ34" s="132">
        <f t="shared" si="36"/>
        <v>0.8354838709677419</v>
      </c>
      <c r="CK34" s="132">
        <f t="shared" si="36"/>
        <v>0.98645161290322581</v>
      </c>
      <c r="CL34" s="132">
        <f t="shared" si="36"/>
        <v>0.95645161290322578</v>
      </c>
      <c r="CM34" s="132">
        <f t="shared" si="36"/>
        <v>0.73870967741935489</v>
      </c>
      <c r="CN34" s="132">
        <f>1-(CE34/$BZ34)</f>
        <v>0.92741935483870974</v>
      </c>
      <c r="CO34" s="132">
        <f t="shared" si="37"/>
        <v>0.91774193548387095</v>
      </c>
      <c r="CP34" s="132">
        <f t="shared" si="37"/>
        <v>0.93032258064516127</v>
      </c>
      <c r="CQ34" s="132">
        <f t="shared" si="37"/>
        <v>0.98064516129032253</v>
      </c>
    </row>
    <row r="35" spans="1:95" ht="18.5" x14ac:dyDescent="0.45">
      <c r="G35" t="s">
        <v>376</v>
      </c>
      <c r="P35" s="139">
        <f t="shared" ref="P35:U35" si="41">AVERAGE(P31:P34)</f>
        <v>0.74639192174354207</v>
      </c>
      <c r="Q35" s="139">
        <f t="shared" si="41"/>
        <v>0.7252387460766252</v>
      </c>
      <c r="R35" s="183">
        <f t="shared" si="41"/>
        <v>0.59378830182200426</v>
      </c>
      <c r="S35" s="183">
        <f t="shared" si="41"/>
        <v>0.54258784813346406</v>
      </c>
      <c r="T35" s="139">
        <f t="shared" si="41"/>
        <v>0.79980803000370726</v>
      </c>
      <c r="U35" s="229">
        <f t="shared" si="41"/>
        <v>0.36697728770798743</v>
      </c>
      <c r="V35" s="229">
        <f t="shared" ref="V35:W35" si="42">AVERAGE(V31:V34)</f>
        <v>-0.35743766406721411</v>
      </c>
      <c r="W35" s="139">
        <f t="shared" si="42"/>
        <v>0.65738380730625612</v>
      </c>
      <c r="X35" s="144"/>
      <c r="AE35" t="s">
        <v>376</v>
      </c>
      <c r="AN35" s="139">
        <f t="shared" ref="AN35:AS35" si="43">AVERAGE(AN31:AN34)</f>
        <v>0.79726041692860905</v>
      </c>
      <c r="AO35" s="139">
        <f t="shared" si="43"/>
        <v>0.86057379548369251</v>
      </c>
      <c r="AP35" s="139">
        <f t="shared" si="43"/>
        <v>0.66276309502854125</v>
      </c>
      <c r="AQ35" s="139">
        <f t="shared" si="43"/>
        <v>0.70242028566399284</v>
      </c>
      <c r="AR35" s="139">
        <f t="shared" si="43"/>
        <v>0.88789090200417431</v>
      </c>
      <c r="AS35" s="183">
        <f t="shared" si="43"/>
        <v>0.50064437850479038</v>
      </c>
      <c r="AT35" s="183">
        <f t="shared" ref="AT35:AU35" si="44">AVERAGE(AT31:AT34)</f>
        <v>0.25238476626348483</v>
      </c>
      <c r="AU35" s="139">
        <f t="shared" si="44"/>
        <v>0.82441383559232517</v>
      </c>
      <c r="AV35" s="144"/>
      <c r="BC35" t="s">
        <v>376</v>
      </c>
      <c r="BL35" s="139">
        <f t="shared" ref="BL35:BQ35" si="45">AVERAGE(BL31:BL34)</f>
        <v>0.75330625895843284</v>
      </c>
      <c r="BM35" s="139">
        <f t="shared" si="45"/>
        <v>0.80957342928810316</v>
      </c>
      <c r="BN35" s="139">
        <f t="shared" si="45"/>
        <v>0.66588180840898237</v>
      </c>
      <c r="BO35" s="139">
        <f t="shared" si="45"/>
        <v>0.62913730291447689</v>
      </c>
      <c r="BP35" s="139">
        <f t="shared" si="45"/>
        <v>0.89942233038700425</v>
      </c>
      <c r="BQ35" s="229">
        <f t="shared" si="45"/>
        <v>0.37442964644051602</v>
      </c>
      <c r="BR35" s="229">
        <f t="shared" ref="BR35:BS35" si="46">AVERAGE(BR31:BR34)</f>
        <v>-0.16978021978021973</v>
      </c>
      <c r="BS35" s="139">
        <f t="shared" si="46"/>
        <v>0.77848483038700433</v>
      </c>
      <c r="BT35" s="144"/>
      <c r="CA35" t="s">
        <v>376</v>
      </c>
      <c r="CJ35" s="139">
        <f t="shared" ref="CJ35:CO35" si="47">AVERAGE(CJ31:CJ34)</f>
        <v>0.88380945815867162</v>
      </c>
      <c r="CK35" s="139">
        <f t="shared" si="47"/>
        <v>0.96432670507274576</v>
      </c>
      <c r="CL35" s="139">
        <f t="shared" si="47"/>
        <v>0.96378320736737499</v>
      </c>
      <c r="CM35" s="139">
        <f t="shared" si="47"/>
        <v>0.67727808758014429</v>
      </c>
      <c r="CN35" s="139">
        <f t="shared" si="47"/>
        <v>0.95612895767648132</v>
      </c>
      <c r="CO35" s="139">
        <f t="shared" si="47"/>
        <v>0.89871066588213067</v>
      </c>
      <c r="CP35" s="139">
        <f t="shared" ref="CP35:CQ35" si="48">AVERAGE(CP31:CP34)</f>
        <v>0.84486886363882652</v>
      </c>
      <c r="CQ35" s="139">
        <f t="shared" si="48"/>
        <v>0.94890640355969191</v>
      </c>
    </row>
    <row r="36" spans="1:95" ht="18.5" x14ac:dyDescent="0.45">
      <c r="G36" t="s">
        <v>372</v>
      </c>
      <c r="P36" s="145">
        <f t="shared" ref="P36:U36" si="49">AVERAGE(P31:P32)</f>
        <v>0.84421241491565557</v>
      </c>
      <c r="Q36" s="145">
        <f t="shared" si="49"/>
        <v>0.87405482391240019</v>
      </c>
      <c r="R36" s="145">
        <f t="shared" si="49"/>
        <v>0.987517571766795</v>
      </c>
      <c r="S36" s="145">
        <f t="shared" si="49"/>
        <v>0.76947321692808524</v>
      </c>
      <c r="T36" s="145">
        <f t="shared" si="49"/>
        <v>0.88644014501331758</v>
      </c>
      <c r="U36" s="181">
        <f t="shared" si="49"/>
        <v>0.24048350103580951</v>
      </c>
      <c r="V36" s="181">
        <f t="shared" ref="V36:W36" si="50">AVERAGE(V31:V32)</f>
        <v>-1.0989013021604022</v>
      </c>
      <c r="W36" s="145">
        <f t="shared" si="50"/>
        <v>0.6364087007990531</v>
      </c>
      <c r="X36" s="144"/>
      <c r="AE36" t="s">
        <v>372</v>
      </c>
      <c r="AN36" s="145">
        <f t="shared" ref="AN36:AS36" si="51">AVERAGE(AN31:AN32)</f>
        <v>0.89808270676691726</v>
      </c>
      <c r="AO36" s="145">
        <f t="shared" si="51"/>
        <v>0.92623120300751882</v>
      </c>
      <c r="AP36" s="145">
        <f t="shared" si="51"/>
        <v>0.97067669172932325</v>
      </c>
      <c r="AQ36" s="145">
        <f t="shared" si="51"/>
        <v>0.82067669172932334</v>
      </c>
      <c r="AR36" s="145">
        <f t="shared" si="51"/>
        <v>0.93496240601503755</v>
      </c>
      <c r="AS36" s="182">
        <f t="shared" si="51"/>
        <v>0.40864661654135337</v>
      </c>
      <c r="AT36" s="182">
        <f t="shared" ref="AT36:AU36" si="52">AVERAGE(AT31:AT32)</f>
        <v>-0.21936090225563909</v>
      </c>
      <c r="AU36" s="145">
        <f t="shared" si="52"/>
        <v>0.79210526315789465</v>
      </c>
      <c r="AV36" s="144"/>
      <c r="BC36" t="s">
        <v>372</v>
      </c>
      <c r="BL36" s="145">
        <f t="shared" ref="BL36:BQ36" si="53">AVERAGE(BL31:BL32)</f>
        <v>0.89576086956521739</v>
      </c>
      <c r="BM36" s="145">
        <f t="shared" si="53"/>
        <v>0.90513586956521741</v>
      </c>
      <c r="BN36" s="145">
        <f t="shared" si="53"/>
        <v>0.95951086956521747</v>
      </c>
      <c r="BO36" s="145">
        <f t="shared" si="53"/>
        <v>0.77201086956521747</v>
      </c>
      <c r="BP36" s="145">
        <f t="shared" si="53"/>
        <v>0.88263586956521745</v>
      </c>
      <c r="BQ36" s="181">
        <f t="shared" si="53"/>
        <v>0.2413043478260869</v>
      </c>
      <c r="BR36" s="181">
        <f t="shared" ref="BR36:BS36" si="54">AVERAGE(BR31:BR32)</f>
        <v>-0.89999999999999991</v>
      </c>
      <c r="BS36" s="182">
        <f t="shared" si="54"/>
        <v>0.64076086956521738</v>
      </c>
      <c r="BT36" s="144"/>
      <c r="CA36" t="s">
        <v>372</v>
      </c>
      <c r="CJ36" s="145">
        <f t="shared" ref="CJ36:CO36" si="55">AVERAGE(CJ31:CJ32)</f>
        <v>0.93502981926141993</v>
      </c>
      <c r="CK36" s="145">
        <f t="shared" si="55"/>
        <v>0.97865904474191368</v>
      </c>
      <c r="CL36" s="145">
        <f t="shared" si="55"/>
        <v>0.96833624147090991</v>
      </c>
      <c r="CM36" s="145">
        <f t="shared" si="55"/>
        <v>0.69480832335017439</v>
      </c>
      <c r="CN36" s="145">
        <f t="shared" si="55"/>
        <v>0.98915959164539813</v>
      </c>
      <c r="CO36" s="145">
        <f t="shared" si="55"/>
        <v>0.91060276576905053</v>
      </c>
      <c r="CP36" s="145">
        <f t="shared" ref="CP36:CQ36" si="56">AVERAGE(CP31:CP32)</f>
        <v>0.8162794937236314</v>
      </c>
      <c r="CQ36" s="145">
        <f t="shared" si="56"/>
        <v>0.91404044481483404</v>
      </c>
    </row>
    <row r="37" spans="1:95" ht="18.5" x14ac:dyDescent="0.45">
      <c r="G37" t="s">
        <v>373</v>
      </c>
      <c r="P37" s="145">
        <f t="shared" ref="P37:U37" si="57">AVERAGE(P33:P34)</f>
        <v>0.64857142857142858</v>
      </c>
      <c r="Q37" s="182">
        <f t="shared" si="57"/>
        <v>0.57642266824085009</v>
      </c>
      <c r="R37" s="181">
        <f t="shared" si="57"/>
        <v>0.20005903187721374</v>
      </c>
      <c r="S37" s="181">
        <f t="shared" si="57"/>
        <v>0.31570247933884299</v>
      </c>
      <c r="T37" s="145">
        <f t="shared" si="57"/>
        <v>0.71317591499409683</v>
      </c>
      <c r="U37" s="182">
        <f t="shared" si="57"/>
        <v>0.4934710743801653</v>
      </c>
      <c r="V37" s="181">
        <f t="shared" ref="V37:W37" si="58">AVERAGE(V33:V34)</f>
        <v>0.38402597402597405</v>
      </c>
      <c r="W37" s="145">
        <f t="shared" si="58"/>
        <v>0.67835891381345936</v>
      </c>
      <c r="X37" s="144"/>
      <c r="AE37" t="s">
        <v>373</v>
      </c>
      <c r="AN37" s="145">
        <f t="shared" ref="AN37:AS37" si="59">AVERAGE(AN33:AN34)</f>
        <v>0.69643812709030106</v>
      </c>
      <c r="AO37" s="145">
        <f t="shared" si="59"/>
        <v>0.79491638795986619</v>
      </c>
      <c r="AP37" s="181">
        <f t="shared" si="59"/>
        <v>0.35484949832775925</v>
      </c>
      <c r="AQ37" s="182">
        <f t="shared" si="59"/>
        <v>0.58416387959866223</v>
      </c>
      <c r="AR37" s="145">
        <f t="shared" si="59"/>
        <v>0.84081939799331096</v>
      </c>
      <c r="AS37" s="182">
        <f t="shared" si="59"/>
        <v>0.59264214046822739</v>
      </c>
      <c r="AT37" s="145">
        <f t="shared" ref="AT37:AU37" si="60">AVERAGE(AT33:AT34)</f>
        <v>0.72413043478260875</v>
      </c>
      <c r="AU37" s="145">
        <f t="shared" si="60"/>
        <v>0.85672240802675581</v>
      </c>
      <c r="AV37" s="144"/>
      <c r="BC37" t="s">
        <v>373</v>
      </c>
      <c r="BL37" s="145">
        <f t="shared" ref="BL37:BQ37" si="61">AVERAGE(BL33:BL34)</f>
        <v>0.6108516483516484</v>
      </c>
      <c r="BM37" s="145">
        <f t="shared" si="61"/>
        <v>0.71401098901098903</v>
      </c>
      <c r="BN37" s="181">
        <f t="shared" si="61"/>
        <v>0.37225274725274726</v>
      </c>
      <c r="BO37" s="182">
        <f t="shared" si="61"/>
        <v>0.48626373626373626</v>
      </c>
      <c r="BP37" s="145">
        <f t="shared" si="61"/>
        <v>0.91620879120879128</v>
      </c>
      <c r="BQ37" s="182">
        <f t="shared" si="61"/>
        <v>0.50755494505494503</v>
      </c>
      <c r="BR37" s="182">
        <f t="shared" ref="BR37:BS37" si="62">AVERAGE(BR33:BR34)</f>
        <v>0.56043956043956045</v>
      </c>
      <c r="BS37" s="145">
        <f t="shared" si="62"/>
        <v>0.91620879120879128</v>
      </c>
      <c r="BT37" s="144"/>
      <c r="CA37" t="s">
        <v>373</v>
      </c>
      <c r="CJ37" s="145">
        <f t="shared" ref="CJ37:CO37" si="63">AVERAGE(CJ33:CJ34)</f>
        <v>0.83258909705592332</v>
      </c>
      <c r="CK37" s="145">
        <f t="shared" si="63"/>
        <v>0.94999436540357796</v>
      </c>
      <c r="CL37" s="145">
        <f t="shared" si="63"/>
        <v>0.95923017326383997</v>
      </c>
      <c r="CM37" s="145">
        <f t="shared" si="63"/>
        <v>0.65974785181011408</v>
      </c>
      <c r="CN37" s="145">
        <f t="shared" si="63"/>
        <v>0.92309832370756451</v>
      </c>
      <c r="CO37" s="145">
        <f t="shared" si="63"/>
        <v>0.88681856599521058</v>
      </c>
      <c r="CP37" s="145">
        <f t="shared" ref="CP37:CQ37" si="64">AVERAGE(CP33:CP34)</f>
        <v>0.87345823355402175</v>
      </c>
      <c r="CQ37" s="145">
        <f t="shared" si="64"/>
        <v>0.9837723623045499</v>
      </c>
    </row>
    <row r="55" spans="1:47" x14ac:dyDescent="0.35">
      <c r="C55" s="5" t="s">
        <v>361</v>
      </c>
      <c r="AA55" s="5" t="s">
        <v>25</v>
      </c>
      <c r="AN55" s="5" t="s">
        <v>499</v>
      </c>
    </row>
    <row r="56" spans="1:47" x14ac:dyDescent="0.35">
      <c r="C56" s="170" t="s">
        <v>375</v>
      </c>
      <c r="D56" s="136"/>
      <c r="E56" s="136"/>
      <c r="F56" s="136"/>
      <c r="G56" s="136"/>
      <c r="H56" s="136"/>
      <c r="I56" s="136"/>
      <c r="J56" s="136"/>
      <c r="R56" s="130"/>
      <c r="S56" s="130"/>
      <c r="T56" s="130"/>
      <c r="U56" s="130"/>
      <c r="V56" s="130"/>
      <c r="W56" s="130"/>
      <c r="X56" s="130"/>
      <c r="AA56" s="170" t="s">
        <v>375</v>
      </c>
      <c r="AB56" s="136"/>
      <c r="AC56" s="136"/>
      <c r="AD56" s="136"/>
      <c r="AE56" s="136"/>
      <c r="AF56" s="136"/>
      <c r="AG56" s="136"/>
      <c r="AH56" s="136"/>
      <c r="AN56" s="170" t="s">
        <v>375</v>
      </c>
      <c r="AO56" s="136"/>
      <c r="AP56" s="136"/>
      <c r="AQ56" s="136"/>
      <c r="AR56" s="136"/>
      <c r="AS56" s="136"/>
      <c r="AT56" s="136"/>
      <c r="AU56" s="136"/>
    </row>
    <row r="57" spans="1:47" x14ac:dyDescent="0.35">
      <c r="C57" s="171">
        <v>44201</v>
      </c>
      <c r="D57" s="134">
        <v>44281</v>
      </c>
      <c r="E57" s="134">
        <v>44349</v>
      </c>
      <c r="F57" s="134">
        <v>44466</v>
      </c>
      <c r="G57" s="134">
        <v>44567</v>
      </c>
      <c r="H57" s="134">
        <v>44698</v>
      </c>
      <c r="I57" s="134">
        <v>44754</v>
      </c>
      <c r="J57" s="134">
        <v>44860</v>
      </c>
      <c r="R57" s="128"/>
      <c r="S57" s="128"/>
      <c r="T57" s="128"/>
      <c r="U57" s="128"/>
      <c r="V57" s="128"/>
      <c r="W57" s="128"/>
      <c r="X57" s="128"/>
      <c r="AA57" s="171">
        <v>44201</v>
      </c>
      <c r="AB57" s="134">
        <v>44281</v>
      </c>
      <c r="AC57" s="134">
        <v>44349</v>
      </c>
      <c r="AD57" s="134">
        <v>44466</v>
      </c>
      <c r="AE57" s="134">
        <v>44567</v>
      </c>
      <c r="AF57" s="134">
        <v>44698</v>
      </c>
      <c r="AG57" s="134">
        <v>44754</v>
      </c>
      <c r="AH57" s="134">
        <v>44860</v>
      </c>
      <c r="AN57" s="171">
        <v>44201</v>
      </c>
      <c r="AO57" s="134">
        <v>44281</v>
      </c>
      <c r="AP57" s="134">
        <v>44349</v>
      </c>
      <c r="AQ57" s="134">
        <v>44466</v>
      </c>
      <c r="AR57" s="134">
        <v>44567</v>
      </c>
      <c r="AS57" s="134">
        <v>44698</v>
      </c>
      <c r="AT57" s="134">
        <v>44754</v>
      </c>
      <c r="AU57" s="134">
        <v>44860</v>
      </c>
    </row>
    <row r="58" spans="1:47" x14ac:dyDescent="0.35">
      <c r="A58" t="s">
        <v>372</v>
      </c>
      <c r="B58" s="126">
        <v>203</v>
      </c>
      <c r="C58" s="172" t="str">
        <f>'Surface water'!V44</f>
        <v>&lt;1</v>
      </c>
      <c r="D58" s="142" t="str">
        <f>'Surface water'!W44</f>
        <v>&lt;1</v>
      </c>
      <c r="E58" s="142">
        <f>'Surface water'!X44</f>
        <v>1</v>
      </c>
      <c r="F58" s="142" t="str">
        <f>'Surface water'!Y44</f>
        <v>&lt;1</v>
      </c>
      <c r="G58" s="142">
        <f>'Surface water'!Z44</f>
        <v>1.2</v>
      </c>
      <c r="H58" s="142">
        <f>'Surface water'!AA44</f>
        <v>13</v>
      </c>
      <c r="I58" s="142">
        <f>'Surface water'!AB44</f>
        <v>20</v>
      </c>
      <c r="J58" s="142">
        <f>'Surface water'!AC44</f>
        <v>1.6</v>
      </c>
      <c r="R58" s="132"/>
      <c r="S58" s="132"/>
      <c r="T58" s="132"/>
      <c r="U58" s="132"/>
      <c r="V58" s="132"/>
      <c r="W58" s="132"/>
      <c r="X58" s="132"/>
      <c r="Y58" t="s">
        <v>372</v>
      </c>
      <c r="Z58" s="126">
        <v>203</v>
      </c>
      <c r="AA58" s="172">
        <f>'Surface water'!V10</f>
        <v>613</v>
      </c>
      <c r="AB58" s="172">
        <f>'Surface water'!W10</f>
        <v>877</v>
      </c>
      <c r="AC58" s="172">
        <f>'Surface water'!X10</f>
        <v>886</v>
      </c>
      <c r="AD58" s="172">
        <f>'Surface water'!Y10</f>
        <v>448</v>
      </c>
      <c r="AE58" s="172">
        <f>'Surface water'!Z10</f>
        <v>858</v>
      </c>
      <c r="AF58" s="172">
        <f>'Surface water'!AA10</f>
        <v>1202</v>
      </c>
      <c r="AG58" s="172">
        <f>'Surface water'!AB10</f>
        <v>1059</v>
      </c>
      <c r="AH58" s="172">
        <f>'Surface water'!AC10</f>
        <v>746</v>
      </c>
      <c r="AK58" t="s">
        <v>372</v>
      </c>
      <c r="AM58" s="126">
        <v>203</v>
      </c>
      <c r="AN58" s="172">
        <f>'Surface water'!V11</f>
        <v>86.2</v>
      </c>
      <c r="AO58" s="172">
        <f>'Surface water'!W11</f>
        <v>93.4</v>
      </c>
      <c r="AP58" s="172">
        <f>'Surface water'!X11</f>
        <v>88.4</v>
      </c>
      <c r="AQ58" s="172">
        <f>'Surface water'!Y11</f>
        <v>81.3</v>
      </c>
      <c r="AR58" s="172">
        <f>'Surface water'!Z11</f>
        <v>54.6</v>
      </c>
      <c r="AS58" s="172">
        <f>'Surface water'!AA11</f>
        <v>-17.899999999999999</v>
      </c>
      <c r="AT58" s="172">
        <f>'Surface water'!AB11</f>
        <v>-125.5</v>
      </c>
      <c r="AU58" s="172">
        <f>'Surface water'!AC11</f>
        <v>-51.3</v>
      </c>
    </row>
    <row r="59" spans="1:47" x14ac:dyDescent="0.35">
      <c r="A59" t="s">
        <v>372</v>
      </c>
      <c r="B59" s="126">
        <v>205</v>
      </c>
      <c r="C59" s="172">
        <f>'Surface water'!AJ44</f>
        <v>7.9</v>
      </c>
      <c r="D59" s="142">
        <f>'Surface water'!AK44</f>
        <v>15</v>
      </c>
      <c r="E59" s="142" t="str">
        <f>'Surface water'!AL44</f>
        <v>&lt;1</v>
      </c>
      <c r="F59" s="142">
        <f>'Surface water'!AM44</f>
        <v>45</v>
      </c>
      <c r="G59" s="142">
        <f>'Surface water'!AN44</f>
        <v>13</v>
      </c>
      <c r="H59" s="142">
        <f>'Surface water'!AO44</f>
        <v>4.5</v>
      </c>
      <c r="I59" s="142">
        <f>'Surface water'!AP44</f>
        <v>21</v>
      </c>
      <c r="J59" s="142">
        <f>'Surface water'!AQ44</f>
        <v>19</v>
      </c>
      <c r="R59" s="132"/>
      <c r="S59" s="132"/>
      <c r="T59" s="132"/>
      <c r="U59" s="132"/>
      <c r="V59" s="132"/>
      <c r="W59" s="132"/>
      <c r="X59" s="132"/>
      <c r="Y59" t="s">
        <v>372</v>
      </c>
      <c r="Z59" s="126">
        <v>205</v>
      </c>
      <c r="AA59" s="172">
        <f>'Surface water'!AJ10</f>
        <v>650</v>
      </c>
      <c r="AB59" s="172">
        <f>'Surface water'!AK10</f>
        <v>878</v>
      </c>
      <c r="AC59" s="172">
        <f>'Surface water'!AL10</f>
        <v>839</v>
      </c>
      <c r="AD59" s="172">
        <f>'Surface water'!AM10</f>
        <v>450</v>
      </c>
      <c r="AE59" s="172">
        <f>'Surface water'!AN10</f>
        <v>785</v>
      </c>
      <c r="AF59" s="172">
        <f>'Surface water'!AO10</f>
        <v>1221</v>
      </c>
      <c r="AG59" s="172">
        <f>'Surface water'!AP10</f>
        <v>1147</v>
      </c>
      <c r="AH59" s="172">
        <f>'Surface water'!AQ10</f>
        <v>746</v>
      </c>
      <c r="AK59" t="s">
        <v>372</v>
      </c>
      <c r="AM59" s="126">
        <v>205</v>
      </c>
      <c r="AN59" s="172">
        <f>'Surface water'!AJ11</f>
        <v>51.2</v>
      </c>
      <c r="AO59" s="172">
        <f>'Surface water'!AK11</f>
        <v>42.6</v>
      </c>
      <c r="AP59" s="172">
        <f>'Surface water'!AL11</f>
        <v>78.7</v>
      </c>
      <c r="AQ59" s="172">
        <f>'Surface water'!AM11</f>
        <v>15.4</v>
      </c>
      <c r="AR59" s="172">
        <f>'Surface water'!AN11</f>
        <v>-116.7</v>
      </c>
      <c r="AS59" s="172">
        <f>'Surface water'!AO11</f>
        <v>12.8</v>
      </c>
      <c r="AT59" s="172">
        <f>'Surface water'!AP11</f>
        <v>-112.7</v>
      </c>
      <c r="AU59" s="172">
        <f>'Surface water'!AQ11</f>
        <v>12.4</v>
      </c>
    </row>
    <row r="60" spans="1:47" x14ac:dyDescent="0.35">
      <c r="A60" t="s">
        <v>373</v>
      </c>
      <c r="B60" s="127" t="s">
        <v>368</v>
      </c>
      <c r="C60" s="172">
        <f>'Surface water'!AU44</f>
        <v>12</v>
      </c>
      <c r="D60" s="142">
        <f>'Surface water'!AV44</f>
        <v>16</v>
      </c>
      <c r="E60" s="142">
        <f>'Surface water'!AW44</f>
        <v>6.1</v>
      </c>
      <c r="F60" s="142">
        <f>'Surface water'!AX44</f>
        <v>42</v>
      </c>
      <c r="G60" s="142">
        <f>'Surface water'!AY44</f>
        <v>15</v>
      </c>
      <c r="H60" s="142">
        <f>'Surface water'!AZ44</f>
        <v>13</v>
      </c>
      <c r="I60" s="142">
        <f>'Surface water'!BA44</f>
        <v>30</v>
      </c>
      <c r="J60" s="142">
        <f>'Surface water'!BB44</f>
        <v>18</v>
      </c>
      <c r="R60" s="132"/>
      <c r="S60" s="132"/>
      <c r="T60" s="132"/>
      <c r="U60" s="132"/>
      <c r="V60" s="132"/>
      <c r="W60" s="132"/>
      <c r="X60" s="132"/>
      <c r="Y60" t="s">
        <v>373</v>
      </c>
      <c r="Z60" s="127" t="s">
        <v>368</v>
      </c>
      <c r="AA60" s="172">
        <f>'Surface water'!AU10</f>
        <v>678</v>
      </c>
      <c r="AB60" s="172">
        <f>'Surface water'!AV10</f>
        <v>881</v>
      </c>
      <c r="AC60" s="172">
        <f>'Surface water'!AW10</f>
        <v>850</v>
      </c>
      <c r="AD60" s="172">
        <f>'Surface water'!AX10</f>
        <v>457</v>
      </c>
      <c r="AE60" s="172">
        <f>'Surface water'!AY10</f>
        <v>781</v>
      </c>
      <c r="AF60" s="172">
        <f>'Surface water'!AZ10</f>
        <v>1210</v>
      </c>
      <c r="AG60" s="172">
        <f>'Surface water'!BA10</f>
        <v>1014</v>
      </c>
      <c r="AH60" s="172">
        <f>'Surface water'!BB10</f>
        <v>741</v>
      </c>
      <c r="AK60" t="s">
        <v>373</v>
      </c>
      <c r="AM60" s="127" t="s">
        <v>368</v>
      </c>
      <c r="AN60" s="172">
        <f>'Surface water'!AU11</f>
        <v>50.6</v>
      </c>
      <c r="AO60" s="172">
        <f>'Surface water'!AV11</f>
        <v>96</v>
      </c>
      <c r="AP60" s="172">
        <f>'Surface water'!AW11</f>
        <v>81.3</v>
      </c>
      <c r="AQ60" s="172">
        <f>'Surface water'!AX11</f>
        <v>37.4</v>
      </c>
      <c r="AR60" s="172">
        <f>'Surface water'!AY11</f>
        <v>-3.8</v>
      </c>
      <c r="AS60" s="172">
        <f>'Surface water'!AZ11</f>
        <v>-117.1</v>
      </c>
      <c r="AT60" s="172">
        <f>'Surface water'!BA11</f>
        <v>53.8</v>
      </c>
      <c r="AU60" s="172">
        <f>'Surface water'!BB11</f>
        <v>-35.299999999999997</v>
      </c>
    </row>
    <row r="61" spans="1:47" x14ac:dyDescent="0.35">
      <c r="A61" t="s">
        <v>373</v>
      </c>
      <c r="B61" s="127" t="s">
        <v>369</v>
      </c>
      <c r="C61" s="172">
        <f>'Surface water'!BF44</f>
        <v>13</v>
      </c>
      <c r="D61" s="142">
        <f>'Surface water'!BG44</f>
        <v>15</v>
      </c>
      <c r="E61" s="142">
        <f>'Surface water'!BH44</f>
        <v>3.3</v>
      </c>
      <c r="F61" s="142">
        <f>'Surface water'!BI44</f>
        <v>31</v>
      </c>
      <c r="G61" s="142">
        <f>'Surface water'!BJ44</f>
        <v>17</v>
      </c>
      <c r="H61" s="142">
        <f>'Surface water'!BK44</f>
        <v>12</v>
      </c>
      <c r="I61" s="142">
        <f>'Surface water'!BL44</f>
        <v>56</v>
      </c>
      <c r="J61" s="142">
        <f>'Surface water'!BM44</f>
        <v>15</v>
      </c>
      <c r="R61" s="132"/>
      <c r="S61" s="132"/>
      <c r="T61" s="132"/>
      <c r="U61" s="132"/>
      <c r="V61" s="132"/>
      <c r="W61" s="132"/>
      <c r="X61" s="132"/>
      <c r="Y61" t="s">
        <v>373</v>
      </c>
      <c r="Z61" s="127" t="s">
        <v>369</v>
      </c>
      <c r="AA61" s="172">
        <f>'Surface water'!BF10</f>
        <v>686</v>
      </c>
      <c r="AB61" s="172">
        <f>'Surface water'!BG10</f>
        <v>888</v>
      </c>
      <c r="AC61" s="172">
        <f>'Surface water'!BH10</f>
        <v>887</v>
      </c>
      <c r="AD61" s="172">
        <f>'Surface water'!BI10</f>
        <v>454</v>
      </c>
      <c r="AE61" s="172">
        <f>'Surface water'!BJ10</f>
        <v>791</v>
      </c>
      <c r="AF61" s="172">
        <f>'Surface water'!BK10</f>
        <v>1204</v>
      </c>
      <c r="AG61" s="172">
        <f>'Surface water'!BL10</f>
        <v>1037</v>
      </c>
      <c r="AH61" s="172">
        <f>'Surface water'!BM10</f>
        <v>743</v>
      </c>
      <c r="AK61" t="s">
        <v>373</v>
      </c>
      <c r="AM61" s="127" t="s">
        <v>369</v>
      </c>
      <c r="AN61" s="172">
        <f>'Surface water'!BF11</f>
        <v>57.2</v>
      </c>
      <c r="AO61" s="172">
        <f>'Surface water'!BG11</f>
        <v>91.6</v>
      </c>
      <c r="AP61" s="172">
        <f>'Surface water'!BH11</f>
        <v>72.900000000000006</v>
      </c>
      <c r="AQ61" s="172">
        <f>'Surface water'!BI11</f>
        <v>-102</v>
      </c>
      <c r="AR61" s="172">
        <f>'Surface water'!BJ11</f>
        <v>-16.2</v>
      </c>
      <c r="AS61" s="172">
        <f>'Surface water'!BK11</f>
        <v>21.4</v>
      </c>
      <c r="AT61" s="172">
        <f>'Surface water'!BL11</f>
        <v>185</v>
      </c>
      <c r="AU61" s="172">
        <f>'Surface water'!BM11</f>
        <v>-20.5</v>
      </c>
    </row>
    <row r="62" spans="1:47" ht="18.5" x14ac:dyDescent="0.45">
      <c r="P62" s="144"/>
      <c r="Q62" s="144"/>
      <c r="R62" s="144"/>
      <c r="S62" s="144"/>
      <c r="T62" s="144"/>
      <c r="U62" s="144"/>
      <c r="V62" s="144"/>
      <c r="W62" s="144"/>
    </row>
    <row r="63" spans="1:47" ht="18.5" x14ac:dyDescent="0.45">
      <c r="P63" s="213"/>
      <c r="Q63" s="213"/>
      <c r="R63" s="213"/>
      <c r="S63" s="213"/>
      <c r="T63" s="213"/>
      <c r="U63" s="213"/>
      <c r="V63" s="213"/>
      <c r="W63" s="213"/>
    </row>
    <row r="64" spans="1:47" ht="18.5" x14ac:dyDescent="0.45">
      <c r="P64" s="213"/>
      <c r="Q64" s="213"/>
      <c r="R64" s="213"/>
      <c r="S64" s="213"/>
      <c r="T64" s="213"/>
      <c r="U64" s="213"/>
      <c r="V64" s="213"/>
      <c r="W64" s="213"/>
    </row>
  </sheetData>
  <mergeCells count="8">
    <mergeCell ref="C2:E2"/>
    <mergeCell ref="AA2:AC2"/>
    <mergeCell ref="AY2:BA2"/>
    <mergeCell ref="BW2:BY2"/>
    <mergeCell ref="C29:E29"/>
    <mergeCell ref="AA29:AC29"/>
    <mergeCell ref="AY29:BA29"/>
    <mergeCell ref="BW29:BY29"/>
  </mergeCells>
  <conditionalFormatting sqref="C4 E4:E7 G4:O7">
    <cfRule type="cellIs" dxfId="87" priority="87" operator="greaterThan">
      <formula>#REF!</formula>
    </cfRule>
  </conditionalFormatting>
  <conditionalFormatting sqref="D4">
    <cfRule type="cellIs" dxfId="86" priority="86" operator="greaterThan">
      <formula>#REF!</formula>
    </cfRule>
  </conditionalFormatting>
  <conditionalFormatting sqref="C5">
    <cfRule type="cellIs" dxfId="85" priority="85" operator="greaterThan">
      <formula>#REF!</formula>
    </cfRule>
  </conditionalFormatting>
  <conditionalFormatting sqref="D5">
    <cfRule type="cellIs" dxfId="84" priority="84" operator="greaterThan">
      <formula>#REF!</formula>
    </cfRule>
  </conditionalFormatting>
  <conditionalFormatting sqref="C6">
    <cfRule type="cellIs" dxfId="83" priority="83" operator="greaterThan">
      <formula>#REF!</formula>
    </cfRule>
  </conditionalFormatting>
  <conditionalFormatting sqref="D6">
    <cfRule type="cellIs" dxfId="82" priority="82" operator="greaterThan">
      <formula>#REF!</formula>
    </cfRule>
  </conditionalFormatting>
  <conditionalFormatting sqref="C7">
    <cfRule type="cellIs" dxfId="81" priority="81" operator="greaterThan">
      <formula>#REF!</formula>
    </cfRule>
  </conditionalFormatting>
  <conditionalFormatting sqref="D7">
    <cfRule type="cellIs" dxfId="80" priority="80" operator="greaterThan">
      <formula>#REF!</formula>
    </cfRule>
  </conditionalFormatting>
  <conditionalFormatting sqref="AA4 AC4:AC7 AE4:AM7">
    <cfRule type="cellIs" dxfId="79" priority="79" operator="greaterThan">
      <formula>$D$15</formula>
    </cfRule>
  </conditionalFormatting>
  <conditionalFormatting sqref="AB4:AC4">
    <cfRule type="cellIs" dxfId="78" priority="78" operator="greaterThan">
      <formula>$D$15</formula>
    </cfRule>
  </conditionalFormatting>
  <conditionalFormatting sqref="AA5">
    <cfRule type="cellIs" dxfId="77" priority="77" operator="greaterThan">
      <formula>$D$15</formula>
    </cfRule>
  </conditionalFormatting>
  <conditionalFormatting sqref="AB5:AC5">
    <cfRule type="cellIs" dxfId="76" priority="76" operator="greaterThan">
      <formula>$D$15</formula>
    </cfRule>
  </conditionalFormatting>
  <conditionalFormatting sqref="AA6">
    <cfRule type="cellIs" dxfId="75" priority="75" operator="greaterThan">
      <formula>$D$15</formula>
    </cfRule>
  </conditionalFormatting>
  <conditionalFormatting sqref="AB6:AC6">
    <cfRule type="cellIs" dxfId="74" priority="74" operator="greaterThan">
      <formula>$D$15</formula>
    </cfRule>
  </conditionalFormatting>
  <conditionalFormatting sqref="AA7">
    <cfRule type="cellIs" dxfId="73" priority="73" operator="greaterThan">
      <formula>$D$15</formula>
    </cfRule>
  </conditionalFormatting>
  <conditionalFormatting sqref="AB7:AC7">
    <cfRule type="cellIs" dxfId="72" priority="72" operator="greaterThan">
      <formula>$D$15</formula>
    </cfRule>
  </conditionalFormatting>
  <conditionalFormatting sqref="AY4 BC4:BK7">
    <cfRule type="cellIs" dxfId="71" priority="71" operator="greaterThan">
      <formula>$D$13</formula>
    </cfRule>
  </conditionalFormatting>
  <conditionalFormatting sqref="AZ4">
    <cfRule type="cellIs" dxfId="70" priority="70" operator="greaterThan">
      <formula>$D$13</formula>
    </cfRule>
  </conditionalFormatting>
  <conditionalFormatting sqref="AY5">
    <cfRule type="cellIs" dxfId="69" priority="69" operator="greaterThan">
      <formula>$D$13</formula>
    </cfRule>
  </conditionalFormatting>
  <conditionalFormatting sqref="AZ5">
    <cfRule type="cellIs" dxfId="68" priority="68" operator="greaterThan">
      <formula>$D$13</formula>
    </cfRule>
  </conditionalFormatting>
  <conditionalFormatting sqref="AY6">
    <cfRule type="cellIs" dxfId="67" priority="67" operator="greaterThan">
      <formula>$D$13</formula>
    </cfRule>
  </conditionalFormatting>
  <conditionalFormatting sqref="AZ6">
    <cfRule type="cellIs" dxfId="66" priority="66" operator="greaterThan">
      <formula>$D$13</formula>
    </cfRule>
  </conditionalFormatting>
  <conditionalFormatting sqref="AY7">
    <cfRule type="cellIs" dxfId="65" priority="65" operator="greaterThan">
      <formula>$D$13</formula>
    </cfRule>
  </conditionalFormatting>
  <conditionalFormatting sqref="AZ7">
    <cfRule type="cellIs" dxfId="64" priority="64" operator="greaterThan">
      <formula>$D$13</formula>
    </cfRule>
  </conditionalFormatting>
  <conditionalFormatting sqref="BW4 BY4:BY7 CA4:CI7">
    <cfRule type="cellIs" dxfId="63" priority="63" operator="greaterThan">
      <formula>$C$11</formula>
    </cfRule>
  </conditionalFormatting>
  <conditionalFormatting sqref="BX4">
    <cfRule type="cellIs" dxfId="62" priority="62" operator="greaterThan">
      <formula>$C$11</formula>
    </cfRule>
  </conditionalFormatting>
  <conditionalFormatting sqref="BW5">
    <cfRule type="cellIs" dxfId="61" priority="61" operator="greaterThan">
      <formula>$C$11</formula>
    </cfRule>
  </conditionalFormatting>
  <conditionalFormatting sqref="BX5">
    <cfRule type="cellIs" dxfId="60" priority="60" operator="greaterThan">
      <formula>$C$11</formula>
    </cfRule>
  </conditionalFormatting>
  <conditionalFormatting sqref="BW6">
    <cfRule type="cellIs" dxfId="59" priority="59" operator="greaterThan">
      <formula>$C$11</formula>
    </cfRule>
  </conditionalFormatting>
  <conditionalFormatting sqref="BX6">
    <cfRule type="cellIs" dxfId="58" priority="58" operator="greaterThan">
      <formula>$C$11</formula>
    </cfRule>
  </conditionalFormatting>
  <conditionalFormatting sqref="BW7">
    <cfRule type="cellIs" dxfId="57" priority="57" operator="greaterThan">
      <formula>$C$11</formula>
    </cfRule>
  </conditionalFormatting>
  <conditionalFormatting sqref="BX7">
    <cfRule type="cellIs" dxfId="56" priority="56" operator="greaterThan">
      <formula>$C$11</formula>
    </cfRule>
  </conditionalFormatting>
  <conditionalFormatting sqref="C31 E31:E34 G31:O34">
    <cfRule type="cellIs" dxfId="55" priority="55" operator="greaterThan">
      <formula>$C$34</formula>
    </cfRule>
  </conditionalFormatting>
  <conditionalFormatting sqref="D31">
    <cfRule type="cellIs" dxfId="54" priority="54" operator="greaterThan">
      <formula>$C$34</formula>
    </cfRule>
  </conditionalFormatting>
  <conditionalFormatting sqref="C32">
    <cfRule type="cellIs" dxfId="53" priority="53" operator="greaterThan">
      <formula>$C$34</formula>
    </cfRule>
  </conditionalFormatting>
  <conditionalFormatting sqref="D32">
    <cfRule type="cellIs" dxfId="52" priority="52" operator="greaterThan">
      <formula>$C$34</formula>
    </cfRule>
  </conditionalFormatting>
  <conditionalFormatting sqref="C33">
    <cfRule type="cellIs" dxfId="51" priority="51" operator="greaterThan">
      <formula>$C$34</formula>
    </cfRule>
  </conditionalFormatting>
  <conditionalFormatting sqref="D33">
    <cfRule type="cellIs" dxfId="50" priority="50" operator="greaterThan">
      <formula>$C$34</formula>
    </cfRule>
  </conditionalFormatting>
  <conditionalFormatting sqref="C34">
    <cfRule type="cellIs" dxfId="49" priority="49" operator="greaterThan">
      <formula>$C$34</formula>
    </cfRule>
  </conditionalFormatting>
  <conditionalFormatting sqref="D34">
    <cfRule type="cellIs" dxfId="48" priority="48" operator="greaterThan">
      <formula>$C$34</formula>
    </cfRule>
  </conditionalFormatting>
  <conditionalFormatting sqref="BW31">
    <cfRule type="cellIs" dxfId="47" priority="47" operator="greaterThan">
      <formula>$C$11</formula>
    </cfRule>
  </conditionalFormatting>
  <conditionalFormatting sqref="CB32">
    <cfRule type="cellIs" dxfId="46" priority="26" operator="greaterThan">
      <formula>$C$11</formula>
    </cfRule>
  </conditionalFormatting>
  <conditionalFormatting sqref="BW32">
    <cfRule type="cellIs" dxfId="45" priority="45" operator="greaterThan">
      <formula>$C$11</formula>
    </cfRule>
  </conditionalFormatting>
  <conditionalFormatting sqref="CB34">
    <cfRule type="cellIs" dxfId="44" priority="24" operator="greaterThan">
      <formula>$C$11</formula>
    </cfRule>
  </conditionalFormatting>
  <conditionalFormatting sqref="BW33">
    <cfRule type="cellIs" dxfId="43" priority="43" operator="greaterThan">
      <formula>$C$11</formula>
    </cfRule>
  </conditionalFormatting>
  <conditionalFormatting sqref="CC32:CI32">
    <cfRule type="cellIs" dxfId="42" priority="22" operator="greaterThan">
      <formula>$C$11</formula>
    </cfRule>
  </conditionalFormatting>
  <conditionalFormatting sqref="BW34">
    <cfRule type="cellIs" dxfId="41" priority="41" operator="greaterThan">
      <formula>$C$11</formula>
    </cfRule>
  </conditionalFormatting>
  <conditionalFormatting sqref="CC34:CI34">
    <cfRule type="cellIs" dxfId="40" priority="20" operator="greaterThan">
      <formula>$C$11</formula>
    </cfRule>
  </conditionalFormatting>
  <conditionalFormatting sqref="BX31">
    <cfRule type="cellIs" dxfId="39" priority="39" operator="greaterThan">
      <formula>$C$11</formula>
    </cfRule>
  </conditionalFormatting>
  <conditionalFormatting sqref="BX32">
    <cfRule type="cellIs" dxfId="38" priority="38" operator="greaterThan">
      <formula>$C$11</formula>
    </cfRule>
  </conditionalFormatting>
  <conditionalFormatting sqref="BX33">
    <cfRule type="cellIs" dxfId="37" priority="37" operator="greaterThan">
      <formula>$C$11</formula>
    </cfRule>
  </conditionalFormatting>
  <conditionalFormatting sqref="BX34">
    <cfRule type="cellIs" dxfId="36" priority="36" operator="greaterThan">
      <formula>$C$11</formula>
    </cfRule>
  </conditionalFormatting>
  <conditionalFormatting sqref="BY31">
    <cfRule type="cellIs" dxfId="35" priority="35" operator="greaterThan">
      <formula>$C$11</formula>
    </cfRule>
  </conditionalFormatting>
  <conditionalFormatting sqref="BY32">
    <cfRule type="cellIs" dxfId="34" priority="34" operator="greaterThan">
      <formula>$C$11</formula>
    </cfRule>
  </conditionalFormatting>
  <conditionalFormatting sqref="BY33">
    <cfRule type="cellIs" dxfId="33" priority="33" operator="greaterThan">
      <formula>$C$11</formula>
    </cfRule>
  </conditionalFormatting>
  <conditionalFormatting sqref="BY34">
    <cfRule type="cellIs" dxfId="32" priority="32" operator="greaterThan">
      <formula>$C$11</formula>
    </cfRule>
  </conditionalFormatting>
  <conditionalFormatting sqref="CA31">
    <cfRule type="cellIs" dxfId="31" priority="31" operator="greaterThan">
      <formula>$C$11</formula>
    </cfRule>
  </conditionalFormatting>
  <conditionalFormatting sqref="CA32">
    <cfRule type="cellIs" dxfId="30" priority="30" operator="greaterThan">
      <formula>$C$11</formula>
    </cfRule>
  </conditionalFormatting>
  <conditionalFormatting sqref="CA33">
    <cfRule type="cellIs" dxfId="29" priority="29" operator="greaterThan">
      <formula>$C$11</formula>
    </cfRule>
  </conditionalFormatting>
  <conditionalFormatting sqref="CA34">
    <cfRule type="cellIs" dxfId="28" priority="28" operator="greaterThan">
      <formula>$C$11</formula>
    </cfRule>
  </conditionalFormatting>
  <conditionalFormatting sqref="CB31">
    <cfRule type="cellIs" dxfId="27" priority="27" operator="greaterThan">
      <formula>$C$11</formula>
    </cfRule>
  </conditionalFormatting>
  <conditionalFormatting sqref="CB33">
    <cfRule type="cellIs" dxfId="26" priority="25" operator="greaterThan">
      <formula>$C$11</formula>
    </cfRule>
  </conditionalFormatting>
  <conditionalFormatting sqref="CC31:CI31">
    <cfRule type="cellIs" dxfId="25" priority="23" operator="greaterThan">
      <formula>$C$11</formula>
    </cfRule>
  </conditionalFormatting>
  <conditionalFormatting sqref="CC33:CI33">
    <cfRule type="cellIs" dxfId="24" priority="21" operator="greaterThan">
      <formula>$C$11</formula>
    </cfRule>
  </conditionalFormatting>
  <conditionalFormatting sqref="C58:F61">
    <cfRule type="cellIs" dxfId="23" priority="15" operator="greaterThan">
      <formula>$C$34</formula>
    </cfRule>
  </conditionalFormatting>
  <conditionalFormatting sqref="G58:J61">
    <cfRule type="cellIs" dxfId="22" priority="6" operator="greaterThan">
      <formula>$C$34</formula>
    </cfRule>
  </conditionalFormatting>
  <conditionalFormatting sqref="AA58:AH61">
    <cfRule type="cellIs" dxfId="21" priority="5" operator="greaterThan">
      <formula>$C$34</formula>
    </cfRule>
  </conditionalFormatting>
  <conditionalFormatting sqref="AN58:AU61">
    <cfRule type="cellIs" dxfId="20" priority="3" operator="greaterThan">
      <formula>$C$34</formula>
    </cfRule>
  </conditionalFormatting>
  <pageMargins left="0.70866141732283472" right="0.70866141732283472" top="0.74803149606299213" bottom="0.74803149606299213" header="0.31496062992125984" footer="0.31496062992125984"/>
  <pageSetup paperSize="9" scale="40" fitToWidth="2" orientation="landscape" r:id="rId1"/>
  <colBreaks count="3" manualBreakCount="3">
    <brk id="24" max="77" man="1"/>
    <brk id="48" max="1048575" man="1"/>
    <brk id="72" max="77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897D5-B478-44DD-9B6D-2134318F0C94}">
  <dimension ref="A1:AI77"/>
  <sheetViews>
    <sheetView view="pageBreakPreview" zoomScaleNormal="100" zoomScaleSheetLayoutView="100" workbookViewId="0">
      <selection activeCell="L48" sqref="L48"/>
    </sheetView>
  </sheetViews>
  <sheetFormatPr defaultRowHeight="14.5" x14ac:dyDescent="0.35"/>
  <cols>
    <col min="1" max="1" width="11" customWidth="1"/>
    <col min="10" max="10" width="10.90625" bestFit="1" customWidth="1"/>
    <col min="19" max="19" width="10.54296875" bestFit="1" customWidth="1"/>
    <col min="28" max="28" width="10.90625" bestFit="1" customWidth="1"/>
  </cols>
  <sheetData>
    <row r="1" spans="1:35" x14ac:dyDescent="0.35">
      <c r="C1" s="129" t="s">
        <v>44</v>
      </c>
      <c r="L1" s="129" t="s">
        <v>33</v>
      </c>
      <c r="U1" s="129" t="s">
        <v>235</v>
      </c>
      <c r="AD1" s="129" t="s">
        <v>29</v>
      </c>
    </row>
    <row r="2" spans="1:35" x14ac:dyDescent="0.35">
      <c r="B2" s="129">
        <v>0</v>
      </c>
      <c r="C2" s="129">
        <f>50+24</f>
        <v>74</v>
      </c>
      <c r="D2" s="129">
        <f>C2+35</f>
        <v>109</v>
      </c>
      <c r="E2" s="129">
        <f>D2+25</f>
        <v>134</v>
      </c>
      <c r="F2" s="129">
        <f>E2+15</f>
        <v>149</v>
      </c>
      <c r="G2" s="129">
        <f>F2+480</f>
        <v>629</v>
      </c>
      <c r="H2" s="130"/>
      <c r="K2" s="129">
        <v>0</v>
      </c>
      <c r="L2" s="129">
        <f>50+24</f>
        <v>74</v>
      </c>
      <c r="M2" s="129">
        <f>L2+35</f>
        <v>109</v>
      </c>
      <c r="N2" s="129">
        <f>M2+25</f>
        <v>134</v>
      </c>
      <c r="O2" s="129">
        <f>N2+15</f>
        <v>149</v>
      </c>
      <c r="P2" s="129">
        <f>O2+480</f>
        <v>629</v>
      </c>
      <c r="Q2" s="130"/>
      <c r="T2" s="129">
        <v>0</v>
      </c>
      <c r="U2" s="129">
        <f>50+24</f>
        <v>74</v>
      </c>
      <c r="V2" s="129">
        <f>U2+35</f>
        <v>109</v>
      </c>
      <c r="W2" s="129">
        <f>V2+25</f>
        <v>134</v>
      </c>
      <c r="X2" s="129">
        <f>W2+15</f>
        <v>149</v>
      </c>
      <c r="Y2" s="129">
        <f>X2+480</f>
        <v>629</v>
      </c>
      <c r="Z2" s="130"/>
      <c r="AC2" s="129">
        <v>0</v>
      </c>
      <c r="AD2" s="129">
        <f>50+24</f>
        <v>74</v>
      </c>
      <c r="AE2" s="129">
        <f>AD2+35</f>
        <v>109</v>
      </c>
      <c r="AF2" s="129">
        <f>AE2+25</f>
        <v>134</v>
      </c>
      <c r="AG2" s="129">
        <f>AF2+15</f>
        <v>149</v>
      </c>
      <c r="AH2" s="129">
        <f>AG2+480</f>
        <v>629</v>
      </c>
      <c r="AI2" s="130"/>
    </row>
    <row r="3" spans="1:35" x14ac:dyDescent="0.35">
      <c r="B3" s="146">
        <v>201</v>
      </c>
      <c r="C3" s="146">
        <v>203</v>
      </c>
      <c r="D3" s="146">
        <v>205</v>
      </c>
      <c r="E3" s="146">
        <v>206</v>
      </c>
      <c r="F3" s="146">
        <v>207</v>
      </c>
      <c r="G3" s="146">
        <v>208</v>
      </c>
      <c r="K3" s="146">
        <v>201</v>
      </c>
      <c r="L3" s="146">
        <v>203</v>
      </c>
      <c r="M3" s="146">
        <v>205</v>
      </c>
      <c r="N3" s="146">
        <v>206</v>
      </c>
      <c r="O3" s="146">
        <v>207</v>
      </c>
      <c r="P3" s="146">
        <v>208</v>
      </c>
      <c r="T3" s="146">
        <v>201</v>
      </c>
      <c r="U3" s="146">
        <v>203</v>
      </c>
      <c r="V3" s="146">
        <v>205</v>
      </c>
      <c r="W3" s="146">
        <v>206</v>
      </c>
      <c r="X3" s="146">
        <v>207</v>
      </c>
      <c r="Y3" s="146">
        <v>208</v>
      </c>
      <c r="Z3" s="130"/>
      <c r="AC3" s="146">
        <v>201</v>
      </c>
      <c r="AD3" s="146">
        <v>203</v>
      </c>
      <c r="AE3" s="146">
        <v>205</v>
      </c>
      <c r="AF3" s="146">
        <v>206</v>
      </c>
      <c r="AG3" s="146">
        <v>207</v>
      </c>
      <c r="AH3" s="146">
        <v>208</v>
      </c>
      <c r="AI3" s="130"/>
    </row>
    <row r="4" spans="1:35" x14ac:dyDescent="0.35">
      <c r="A4" s="214">
        <v>43864</v>
      </c>
      <c r="B4" s="215">
        <f>'Surface water'!$E28</f>
        <v>0.41</v>
      </c>
      <c r="C4" s="216">
        <f>'Surface water'!$S28</f>
        <v>10</v>
      </c>
      <c r="D4" s="216">
        <f>'Surface water'!$AG28</f>
        <v>12</v>
      </c>
      <c r="E4" s="216">
        <f>'Surface water'!$AR28</f>
        <v>14</v>
      </c>
      <c r="F4" s="216">
        <f>'Surface water'!$BC28</f>
        <v>14</v>
      </c>
      <c r="G4" s="216">
        <f>'Surface water'!$BN28</f>
        <v>6.7</v>
      </c>
      <c r="J4" s="214">
        <v>43864</v>
      </c>
      <c r="K4" s="215">
        <f>'Surface water'!$E18</f>
        <v>9.7000000000000003E-2</v>
      </c>
      <c r="L4" s="216">
        <f>'Surface water'!$S18</f>
        <v>2.7</v>
      </c>
      <c r="M4" s="216">
        <f>'Surface water'!$AG18</f>
        <v>2.7</v>
      </c>
      <c r="N4" s="216">
        <f>'Surface water'!$AR18</f>
        <v>2.7</v>
      </c>
      <c r="O4" s="216">
        <f>'Surface water'!$BC18</f>
        <v>3</v>
      </c>
      <c r="P4" s="216">
        <f>'Surface water'!$BN18</f>
        <v>2.8</v>
      </c>
      <c r="S4" s="214">
        <v>43864</v>
      </c>
      <c r="T4" s="215">
        <f>'Surface water'!$E16</f>
        <v>0.43</v>
      </c>
      <c r="U4" s="216">
        <f>'Surface water'!$S16</f>
        <v>14</v>
      </c>
      <c r="V4" s="216">
        <f>'Surface water'!$AG16</f>
        <v>12</v>
      </c>
      <c r="W4" s="216">
        <f>'Surface water'!$AR16</f>
        <v>11</v>
      </c>
      <c r="X4" s="216">
        <f>'Surface water'!$BC16</f>
        <v>12</v>
      </c>
      <c r="Y4" s="216">
        <f>'Surface water'!$BN16</f>
        <v>3.8</v>
      </c>
      <c r="AB4" s="214">
        <v>43864</v>
      </c>
      <c r="AC4" s="215">
        <f>'Surface water'!$E14</f>
        <v>0.28999999999999998</v>
      </c>
      <c r="AD4" s="216">
        <f>'Surface water'!$S14</f>
        <v>57</v>
      </c>
      <c r="AE4" s="216">
        <f>'Surface water'!$AG14</f>
        <v>60</v>
      </c>
      <c r="AF4" s="216">
        <f>'Surface water'!$AR14</f>
        <v>53</v>
      </c>
      <c r="AG4" s="216">
        <f>'Surface water'!$BC14</f>
        <v>52</v>
      </c>
      <c r="AH4" s="216">
        <f>'Surface water'!$BN14</f>
        <v>3.3</v>
      </c>
    </row>
    <row r="5" spans="1:35" x14ac:dyDescent="0.35">
      <c r="A5" s="214">
        <v>43920</v>
      </c>
      <c r="B5" s="215">
        <f>'Surface water'!$F28</f>
        <v>0.12</v>
      </c>
      <c r="C5" s="217">
        <f>'Surface water'!$T28</f>
        <v>3.2</v>
      </c>
      <c r="D5" s="217">
        <f>'Surface water'!$AH28</f>
        <v>7.5</v>
      </c>
      <c r="E5" s="217">
        <f>'Surface water'!$AS28</f>
        <v>9.4</v>
      </c>
      <c r="F5" s="216">
        <f>'Surface water'!$BD28</f>
        <v>10</v>
      </c>
      <c r="G5" s="216">
        <f>'Surface water'!$BO28</f>
        <v>15</v>
      </c>
      <c r="J5" s="214">
        <v>43920</v>
      </c>
      <c r="K5" s="215">
        <f>'Surface water'!$F18</f>
        <v>0.1</v>
      </c>
      <c r="L5" s="217">
        <f>'Surface water'!$T18</f>
        <v>0.78</v>
      </c>
      <c r="M5" s="217">
        <f>'Surface water'!$AH18</f>
        <v>1.3</v>
      </c>
      <c r="N5" s="217">
        <f>'Surface water'!$AS18</f>
        <v>0.94</v>
      </c>
      <c r="O5" s="216">
        <f>'Surface water'!$BD18</f>
        <v>3.1</v>
      </c>
      <c r="P5" s="216">
        <f>'Surface water'!$BO18</f>
        <v>3.9</v>
      </c>
      <c r="S5" s="214">
        <v>43920</v>
      </c>
      <c r="T5" s="215">
        <f>'Surface water'!$F16</f>
        <v>0.25</v>
      </c>
      <c r="U5" s="217">
        <f>'Surface water'!$T16</f>
        <v>3</v>
      </c>
      <c r="V5" s="217">
        <f>'Surface water'!$AH16</f>
        <v>7.8</v>
      </c>
      <c r="W5" s="217">
        <f>'Surface water'!$AS16</f>
        <v>6.9</v>
      </c>
      <c r="X5" s="216">
        <f>'Surface water'!$BD16</f>
        <v>9.8000000000000007</v>
      </c>
      <c r="Y5" s="216">
        <f>'Surface water'!$BO16</f>
        <v>14</v>
      </c>
      <c r="AB5" s="214">
        <v>43920</v>
      </c>
      <c r="AC5" s="215">
        <f>'Surface water'!$F14</f>
        <v>0.2</v>
      </c>
      <c r="AD5" s="216">
        <f>'Surface water'!$T14</f>
        <v>46</v>
      </c>
      <c r="AE5" s="216">
        <f>'Surface water'!$AH14</f>
        <v>60</v>
      </c>
      <c r="AF5" s="216">
        <f>'Surface water'!$AS14</f>
        <v>54</v>
      </c>
      <c r="AG5" s="216">
        <f>'Surface water'!$BD14</f>
        <v>53</v>
      </c>
      <c r="AH5" s="216">
        <f>'Surface water'!$BO14</f>
        <v>26</v>
      </c>
    </row>
    <row r="6" spans="1:35" x14ac:dyDescent="0.35">
      <c r="A6" s="214">
        <v>43986</v>
      </c>
      <c r="B6" s="215">
        <f>'Surface water'!$G28</f>
        <v>0.56999999999999995</v>
      </c>
      <c r="C6" s="217">
        <f>'Surface water'!$U28</f>
        <v>12</v>
      </c>
      <c r="D6" s="217">
        <f>'Surface water'!$AI28</f>
        <v>14</v>
      </c>
      <c r="E6" s="217">
        <f>'Surface water'!$AT28</f>
        <v>8.9</v>
      </c>
      <c r="F6" s="217">
        <f>'Surface water'!$BE28</f>
        <v>4.4000000000000004</v>
      </c>
      <c r="G6" s="217">
        <f>'Surface water'!$BP28</f>
        <v>0.55000000000000004</v>
      </c>
      <c r="J6" s="214">
        <v>43986</v>
      </c>
      <c r="K6" s="215">
        <f>'Surface water'!$G18</f>
        <v>0.66</v>
      </c>
      <c r="L6" s="217">
        <f>'Surface water'!$U18</f>
        <v>2</v>
      </c>
      <c r="M6" s="217">
        <f>'Surface water'!$AI18</f>
        <v>2.9</v>
      </c>
      <c r="N6" s="217">
        <f>'Surface water'!$AT18</f>
        <v>2.4</v>
      </c>
      <c r="O6" s="217">
        <f>'Surface water'!$BE18</f>
        <v>1.7</v>
      </c>
      <c r="P6" s="217">
        <f>'Surface water'!$BP18</f>
        <v>0.47</v>
      </c>
      <c r="S6" s="214">
        <v>43986</v>
      </c>
      <c r="T6" s="215">
        <f>'Surface water'!$G16</f>
        <v>1.0999999999999999E-2</v>
      </c>
      <c r="U6" s="217" t="str">
        <f>'Surface water'!$U16</f>
        <v>&lt;0.010</v>
      </c>
      <c r="V6" s="217" t="str">
        <f>'Surface water'!$AI16</f>
        <v>&lt;0.010</v>
      </c>
      <c r="W6" s="217" t="str">
        <f>'Surface water'!$AT16</f>
        <v>&lt;0.010</v>
      </c>
      <c r="X6" s="216" t="str">
        <f>'Surface water'!$BE16</f>
        <v>&lt;0.010</v>
      </c>
      <c r="Y6" s="216" t="str">
        <f>'Surface water'!$BP16</f>
        <v>&lt;0.010</v>
      </c>
      <c r="AB6" s="214">
        <v>43986</v>
      </c>
      <c r="AC6" s="215" t="str">
        <f>'Surface water'!$G14</f>
        <v>&lt;0.020</v>
      </c>
      <c r="AD6" s="215">
        <f>'Surface water'!$U14</f>
        <v>3.7999999999999999E-2</v>
      </c>
      <c r="AE6" s="215">
        <f>'Surface water'!$AI14</f>
        <v>4.3999999999999997E-2</v>
      </c>
      <c r="AF6" s="215">
        <f>'Surface water'!$AT14</f>
        <v>2.9000000000000001E-2</v>
      </c>
      <c r="AG6" s="215">
        <f>'Surface water'!$BE14</f>
        <v>4.7E-2</v>
      </c>
      <c r="AH6" s="215">
        <f>'Surface water'!$BP14</f>
        <v>0.02</v>
      </c>
    </row>
    <row r="7" spans="1:35" x14ac:dyDescent="0.35">
      <c r="A7" s="147">
        <v>43925</v>
      </c>
      <c r="B7" s="148">
        <f>AVERAGE(B4:B6)</f>
        <v>0.3666666666666667</v>
      </c>
      <c r="C7" s="148">
        <f t="shared" ref="C7:G7" si="0">AVERAGE(C4:C6)</f>
        <v>8.4</v>
      </c>
      <c r="D7" s="140">
        <f t="shared" si="0"/>
        <v>11.166666666666666</v>
      </c>
      <c r="E7" s="140">
        <f t="shared" si="0"/>
        <v>10.766666666666666</v>
      </c>
      <c r="F7" s="140">
        <f t="shared" si="0"/>
        <v>9.4666666666666668</v>
      </c>
      <c r="G7" s="140">
        <f t="shared" si="0"/>
        <v>7.416666666666667</v>
      </c>
      <c r="J7" s="147">
        <v>43925</v>
      </c>
      <c r="K7" s="148">
        <f>AVERAGE(K4:K6)</f>
        <v>0.28566666666666668</v>
      </c>
      <c r="L7" s="140">
        <f t="shared" ref="L7:P7" si="1">AVERAGE(L4:L6)</f>
        <v>1.8266666666666669</v>
      </c>
      <c r="M7" s="140">
        <f t="shared" si="1"/>
        <v>2.3000000000000003</v>
      </c>
      <c r="N7" s="140">
        <f t="shared" si="1"/>
        <v>2.0133333333333332</v>
      </c>
      <c r="O7" s="140">
        <f t="shared" si="1"/>
        <v>2.6</v>
      </c>
      <c r="P7" s="140">
        <f t="shared" si="1"/>
        <v>2.3899999999999997</v>
      </c>
      <c r="S7" s="147">
        <v>43925</v>
      </c>
      <c r="T7" s="148">
        <f>AVERAGE(T4:T6)</f>
        <v>0.23033333333333331</v>
      </c>
      <c r="U7" s="140">
        <f t="shared" ref="U7:Y7" si="2">AVERAGE(U4:U6)</f>
        <v>8.5</v>
      </c>
      <c r="V7" s="140">
        <f t="shared" si="2"/>
        <v>9.9</v>
      </c>
      <c r="W7" s="140">
        <f t="shared" si="2"/>
        <v>8.9499999999999993</v>
      </c>
      <c r="X7" s="140">
        <f t="shared" si="2"/>
        <v>10.9</v>
      </c>
      <c r="Y7" s="140">
        <f t="shared" si="2"/>
        <v>8.9</v>
      </c>
      <c r="AB7" s="147">
        <v>43925</v>
      </c>
      <c r="AC7" s="148">
        <f>AVERAGE(AC4:AC6)</f>
        <v>0.245</v>
      </c>
      <c r="AD7" s="140">
        <f t="shared" ref="AD7:AH7" si="3">AVERAGE(AD4:AD6)</f>
        <v>34.345999999999997</v>
      </c>
      <c r="AE7" s="140">
        <f t="shared" si="3"/>
        <v>40.014666666666663</v>
      </c>
      <c r="AF7" s="140">
        <f t="shared" si="3"/>
        <v>35.676333333333332</v>
      </c>
      <c r="AG7" s="140">
        <f t="shared" si="3"/>
        <v>35.015666666666668</v>
      </c>
      <c r="AH7" s="140">
        <f t="shared" si="3"/>
        <v>9.7733333333333334</v>
      </c>
    </row>
    <row r="8" spans="1:35" x14ac:dyDescent="0.35">
      <c r="A8" s="147">
        <v>44201</v>
      </c>
      <c r="B8" s="148">
        <f>'Surface water'!$H28</f>
        <v>0.22</v>
      </c>
      <c r="C8" s="148">
        <f>'Surface water'!$V28</f>
        <v>0.6</v>
      </c>
      <c r="D8" s="140">
        <f>'Surface water'!$AJ28</f>
        <v>1.7</v>
      </c>
      <c r="E8" s="140">
        <f>'Surface water'!$AU28</f>
        <v>2.2000000000000002</v>
      </c>
      <c r="F8" s="140">
        <f>'Surface water'!$BF28</f>
        <v>2.6</v>
      </c>
      <c r="G8" s="140">
        <f>'Surface water'!$BQ28</f>
        <v>4.3</v>
      </c>
      <c r="J8" s="147">
        <v>44201</v>
      </c>
      <c r="K8" s="148">
        <f>'Surface water'!$H18</f>
        <v>1.9E-2</v>
      </c>
      <c r="L8" s="148">
        <f>'Surface water'!$V18</f>
        <v>5.8999999999999997E-2</v>
      </c>
      <c r="M8" s="140">
        <f>'Surface water'!$AJ18</f>
        <v>8.4000000000000005E-2</v>
      </c>
      <c r="N8" s="140">
        <f>'Surface water'!$AU18</f>
        <v>0.11</v>
      </c>
      <c r="O8" s="140">
        <f>'Surface water'!$BF18</f>
        <v>0.18</v>
      </c>
      <c r="P8" s="140">
        <f>'Surface water'!$BQ18</f>
        <v>1.1000000000000001</v>
      </c>
      <c r="S8" s="147">
        <v>44201</v>
      </c>
      <c r="T8" s="148">
        <f>'Surface water'!$H16</f>
        <v>8.5999999999999993E-2</v>
      </c>
      <c r="U8" s="148">
        <f>'Surface water'!$V16</f>
        <v>7.2999999999999995E-2</v>
      </c>
      <c r="V8" s="140">
        <f>'Surface water'!$AJ16</f>
        <v>0.68</v>
      </c>
      <c r="W8" s="140">
        <f>'Surface water'!$AU16</f>
        <v>0.73</v>
      </c>
      <c r="X8" s="140">
        <f>'Surface water'!$BF16</f>
        <v>0.72</v>
      </c>
      <c r="Y8" s="140">
        <f>'Surface water'!$BQ16</f>
        <v>0.33</v>
      </c>
      <c r="AB8" s="147">
        <v>44201</v>
      </c>
      <c r="AC8" s="148">
        <f>'Surface water'!$H14</f>
        <v>4.1000000000000002E-2</v>
      </c>
      <c r="AD8" s="140">
        <f>'Surface water'!$V14</f>
        <v>1</v>
      </c>
      <c r="AE8" s="143">
        <f>'Surface water'!$AJ14</f>
        <v>11</v>
      </c>
      <c r="AF8" s="143">
        <f>'Surface water'!$AU14</f>
        <v>10</v>
      </c>
      <c r="AG8" s="140">
        <f>'Surface water'!$BF14</f>
        <v>6.1</v>
      </c>
      <c r="AH8" s="140">
        <f>'Surface water'!$BQ14</f>
        <v>0.47</v>
      </c>
    </row>
    <row r="9" spans="1:35" x14ac:dyDescent="0.35">
      <c r="A9" s="147">
        <v>44281</v>
      </c>
      <c r="B9" s="148">
        <f>'Surface water'!I28</f>
        <v>0.34</v>
      </c>
      <c r="C9" s="148">
        <f>'Surface water'!$W28</f>
        <v>0.92</v>
      </c>
      <c r="D9" s="140">
        <f>'Surface water'!$AK28</f>
        <v>1.1000000000000001</v>
      </c>
      <c r="E9" s="140" t="str">
        <f>'Surface water'!$AV28</f>
        <v>&lt;0.010</v>
      </c>
      <c r="F9" s="140">
        <f>'Surface water'!$BG28</f>
        <v>0.59</v>
      </c>
      <c r="G9" s="140">
        <f>'Surface water'!$BR28</f>
        <v>6.4000000000000001E-2</v>
      </c>
      <c r="J9" s="147">
        <v>44281</v>
      </c>
      <c r="K9" s="148">
        <f>'Surface water'!$I18</f>
        <v>2.9000000000000001E-2</v>
      </c>
      <c r="L9" s="148">
        <f>'Surface water'!$W18</f>
        <v>6.3E-2</v>
      </c>
      <c r="M9" s="140">
        <f>'Surface water'!$AK18</f>
        <v>0.12</v>
      </c>
      <c r="N9" s="140">
        <f>'Surface water'!$AV18</f>
        <v>6.8000000000000005E-2</v>
      </c>
      <c r="O9" s="140">
        <f>'Surface water'!$BG18</f>
        <v>0.26</v>
      </c>
      <c r="P9" s="140">
        <f>'Surface water'!$BR18</f>
        <v>0.18</v>
      </c>
      <c r="S9" s="147">
        <v>44281</v>
      </c>
      <c r="T9" s="148">
        <f>'Surface water'!$I16</f>
        <v>3.2000000000000001E-2</v>
      </c>
      <c r="U9" s="148">
        <f>'Surface water'!$W16</f>
        <v>0.16</v>
      </c>
      <c r="V9" s="148">
        <f>'Surface water'!$AK16</f>
        <v>0.01</v>
      </c>
      <c r="W9" s="148">
        <f>'Surface water'!$AV16</f>
        <v>2.3E-2</v>
      </c>
      <c r="X9" s="140" t="str">
        <f>'Surface water'!$BG16</f>
        <v>&lt;0.010</v>
      </c>
      <c r="Y9" s="148">
        <f>'Surface water'!$BR16</f>
        <v>0.01</v>
      </c>
      <c r="AB9" s="147">
        <v>44281</v>
      </c>
      <c r="AC9" s="148" t="str">
        <f>'Surface water'!$I14</f>
        <v>&lt;0.10</v>
      </c>
      <c r="AD9" s="140">
        <f>'Surface water'!$W14</f>
        <v>1</v>
      </c>
      <c r="AE9" s="148" t="str">
        <f>'Surface water'!$AK14</f>
        <v>&lt;0.10</v>
      </c>
      <c r="AF9" s="148" t="str">
        <f>'Surface water'!$AV14</f>
        <v>&lt;0.10</v>
      </c>
      <c r="AG9" s="140" t="str">
        <f>'Surface water'!$BG14</f>
        <v>&lt;0.10</v>
      </c>
      <c r="AH9" s="148" t="str">
        <f>'Surface water'!$BR14</f>
        <v>&lt;0.10</v>
      </c>
    </row>
    <row r="10" spans="1:35" x14ac:dyDescent="0.35">
      <c r="A10" s="147">
        <v>44349</v>
      </c>
      <c r="B10" s="148">
        <f>'Surface water'!J$28</f>
        <v>0.41</v>
      </c>
      <c r="C10" s="148">
        <f>'Surface water'!X$28</f>
        <v>0.73</v>
      </c>
      <c r="D10" s="140">
        <f>'Surface water'!AL$28</f>
        <v>0.85</v>
      </c>
      <c r="E10" s="140">
        <f>'Surface water'!AW$28</f>
        <v>1.5</v>
      </c>
      <c r="F10" s="140">
        <f>'Surface water'!BH$28</f>
        <v>2.1</v>
      </c>
      <c r="G10" s="140">
        <f>'Surface water'!BS$28</f>
        <v>4.9000000000000002E-2</v>
      </c>
      <c r="J10" s="147">
        <v>44349</v>
      </c>
      <c r="K10" s="148">
        <f>'Surface water'!J$18</f>
        <v>2.7E-2</v>
      </c>
      <c r="L10" s="148">
        <f>'Surface water'!X$18</f>
        <v>4.7E-2</v>
      </c>
      <c r="M10" s="140">
        <f>'Surface water'!AL$18</f>
        <v>5.7000000000000002E-2</v>
      </c>
      <c r="N10" s="140">
        <f>'Surface water'!AW$18</f>
        <v>8.3000000000000004E-2</v>
      </c>
      <c r="O10" s="140">
        <f>'Surface water'!BH$18</f>
        <v>8.7999999999999995E-2</v>
      </c>
      <c r="P10" s="140">
        <f>'Surface water'!BS$18</f>
        <v>5.8999999999999997E-2</v>
      </c>
      <c r="S10" s="147">
        <v>44349</v>
      </c>
      <c r="T10" s="148">
        <f>'Surface water'!$J16</f>
        <v>0.05</v>
      </c>
      <c r="U10" s="148">
        <f>'Surface water'!$X16</f>
        <v>0.11</v>
      </c>
      <c r="V10" s="140">
        <f>'Surface water'!$AL16</f>
        <v>0.18</v>
      </c>
      <c r="W10" s="140">
        <f>'Surface water'!$AW16</f>
        <v>8.6999999999999994E-2</v>
      </c>
      <c r="X10" s="140">
        <f>'Surface water'!$BH16</f>
        <v>0.15</v>
      </c>
      <c r="Y10" s="140" t="str">
        <f>'Surface water'!$BS16</f>
        <v>&lt;0.010</v>
      </c>
      <c r="AB10" s="147">
        <v>44349</v>
      </c>
      <c r="AC10" s="148">
        <f>'Surface water'!$J14</f>
        <v>3.3000000000000002E-2</v>
      </c>
      <c r="AD10" s="140">
        <f>'Surface water'!$X14</f>
        <v>0.28000000000000003</v>
      </c>
      <c r="AE10" s="148">
        <f>'Surface water'!$AL14</f>
        <v>3.2</v>
      </c>
      <c r="AF10" s="148" t="str">
        <f>'Surface water'!$AW14</f>
        <v>&lt;0.020</v>
      </c>
      <c r="AG10" s="140" t="str">
        <f>'Surface water'!$BH14</f>
        <v>&lt;0.020</v>
      </c>
      <c r="AH10" s="148" t="str">
        <f>'Surface water'!$BS14</f>
        <v>&lt;0.020</v>
      </c>
    </row>
    <row r="11" spans="1:35" x14ac:dyDescent="0.35">
      <c r="A11" s="147">
        <v>44466</v>
      </c>
      <c r="B11" s="148">
        <f>'Surface water'!K$28</f>
        <v>0.44</v>
      </c>
      <c r="C11" s="148">
        <f>'Surface water'!Y$28</f>
        <v>1.7</v>
      </c>
      <c r="D11" s="140">
        <f>'Surface water'!AM$28</f>
        <v>5.7</v>
      </c>
      <c r="E11" s="140">
        <f>'Surface water'!AX$28</f>
        <v>4.5999999999999996</v>
      </c>
      <c r="F11" s="140">
        <f>'Surface water'!BI$28</f>
        <v>4.0999999999999996</v>
      </c>
      <c r="G11" s="140">
        <f>'Surface water'!BT$28</f>
        <v>0.81</v>
      </c>
      <c r="J11" s="147">
        <v>44466</v>
      </c>
      <c r="K11" s="148">
        <f>'Surface water'!$K$18</f>
        <v>4.7E-2</v>
      </c>
      <c r="L11" s="148">
        <f>'Surface water'!$Y$18</f>
        <v>0.16</v>
      </c>
      <c r="M11" s="140">
        <f>'Surface water'!$AM$18</f>
        <v>0.38</v>
      </c>
      <c r="N11" s="140">
        <f>'Surface water'!$AX$18</f>
        <v>0.34</v>
      </c>
      <c r="O11" s="140">
        <f>'Surface water'!$BI$18</f>
        <v>0.37</v>
      </c>
      <c r="P11" s="140">
        <f>'Surface water'!$BT$18</f>
        <v>0.46</v>
      </c>
      <c r="S11" s="147">
        <v>44466</v>
      </c>
      <c r="T11" s="148">
        <f>'Surface water'!$K$16</f>
        <v>5.2999999999999999E-2</v>
      </c>
      <c r="U11" s="148">
        <f>'Surface water'!$Y$16</f>
        <v>0.6</v>
      </c>
      <c r="V11" s="140">
        <f>'Surface water'!$AM$16</f>
        <v>2.1</v>
      </c>
      <c r="W11" s="140">
        <f>'Surface water'!$AX$16</f>
        <v>1.3</v>
      </c>
      <c r="X11" s="140">
        <f>'Surface water'!$BI$16</f>
        <v>0.56999999999999995</v>
      </c>
      <c r="Y11" s="140" t="str">
        <f>'Surface water'!$BT$16</f>
        <v>&lt;0.010</v>
      </c>
      <c r="AB11" s="147">
        <v>44466</v>
      </c>
      <c r="AC11" s="148">
        <f>'Surface water'!$K$14</f>
        <v>6.0999999999999999E-2</v>
      </c>
      <c r="AD11" s="148">
        <f>'Surface water'!$Y$14</f>
        <v>0.81</v>
      </c>
      <c r="AE11" s="140">
        <f>'Surface water'!$AM$14</f>
        <v>33</v>
      </c>
      <c r="AF11" s="140">
        <f>'Surface water'!$AX$14</f>
        <v>8.5</v>
      </c>
      <c r="AG11" s="140">
        <f>'Surface water'!$BI$14</f>
        <v>3.3</v>
      </c>
      <c r="AH11" s="140" t="str">
        <f>'Surface water'!$BT$14</f>
        <v>&lt;0.020</v>
      </c>
    </row>
    <row r="12" spans="1:35" x14ac:dyDescent="0.35">
      <c r="A12" s="147">
        <v>44567</v>
      </c>
      <c r="B12" s="148">
        <f>'Surface water'!L$28</f>
        <v>0.23</v>
      </c>
      <c r="C12" s="148">
        <f>'Surface water'!Z$28</f>
        <v>0.19</v>
      </c>
      <c r="D12" s="140">
        <f>'Surface water'!AN$28</f>
        <v>0.54</v>
      </c>
      <c r="E12" s="140">
        <f>'Surface water'!AY$28</f>
        <v>1.6</v>
      </c>
      <c r="F12" s="140">
        <f>'Surface water'!BJ$28</f>
        <v>0.6</v>
      </c>
      <c r="G12" s="140">
        <f>'Surface water'!BU$28</f>
        <v>3.1</v>
      </c>
      <c r="J12" s="147">
        <v>44567</v>
      </c>
      <c r="K12" s="148">
        <f>'Surface water'!$L$18</f>
        <v>1.9E-2</v>
      </c>
      <c r="L12" s="148">
        <f>'Surface water'!$Z$18</f>
        <v>1.7000000000000001E-2</v>
      </c>
      <c r="M12" s="140" t="str">
        <f>'Surface water'!$AN$18</f>
        <v>&lt;0.050</v>
      </c>
      <c r="N12" s="140">
        <f>'Surface water'!$AY$18</f>
        <v>7.0999999999999994E-2</v>
      </c>
      <c r="O12" s="140">
        <f>'Surface water'!$BJ$18</f>
        <v>8.8999999999999996E-2</v>
      </c>
      <c r="P12" s="140">
        <f>'Surface water'!$BU$18</f>
        <v>0.73</v>
      </c>
      <c r="S12" s="147">
        <v>44567</v>
      </c>
      <c r="T12" s="148">
        <f>'Surface water'!$L$16</f>
        <v>1.6E-2</v>
      </c>
      <c r="U12" s="148" t="str">
        <f>'Surface water'!$Z$16</f>
        <v>&lt;0.010</v>
      </c>
      <c r="V12" s="140">
        <f>'Surface water'!$AN$16</f>
        <v>0.11</v>
      </c>
      <c r="W12" s="140">
        <f>'Surface water'!$AY$16</f>
        <v>0.3</v>
      </c>
      <c r="X12" s="140">
        <f>'Surface water'!$BJ$16</f>
        <v>0.31</v>
      </c>
      <c r="Y12" s="140">
        <f>'Surface water'!$BU$16</f>
        <v>0.51</v>
      </c>
      <c r="AB12" s="147">
        <v>44567</v>
      </c>
      <c r="AC12" s="148" t="str">
        <f>'Surface water'!$L$14</f>
        <v>&lt;0.020</v>
      </c>
      <c r="AD12" s="148" t="str">
        <f>'Surface water'!$Z$14</f>
        <v>&lt;0.020</v>
      </c>
      <c r="AE12" s="140">
        <f>'Surface water'!$AN$14</f>
        <v>6.8</v>
      </c>
      <c r="AF12" s="140">
        <f>'Surface water'!$AY$14</f>
        <v>10</v>
      </c>
      <c r="AG12" s="140">
        <f>'Surface water'!$BJ$14</f>
        <v>9.6</v>
      </c>
      <c r="AH12" s="140">
        <f>'Surface water'!$BU$14</f>
        <v>2.7</v>
      </c>
    </row>
    <row r="13" spans="1:35" x14ac:dyDescent="0.35">
      <c r="A13" s="147">
        <v>44698</v>
      </c>
      <c r="B13" s="148">
        <f>'Surface water'!M$28</f>
        <v>0.28999999999999998</v>
      </c>
      <c r="C13" s="148">
        <f>'Surface water'!AA$28</f>
        <v>3.3</v>
      </c>
      <c r="D13" s="140">
        <f>'Surface water'!AO$28</f>
        <v>2.6</v>
      </c>
      <c r="E13" s="140">
        <f>'Surface water'!AZ$28</f>
        <v>3.3</v>
      </c>
      <c r="F13" s="140">
        <f>'Surface water'!BK$28</f>
        <v>2.5</v>
      </c>
      <c r="G13" s="140">
        <f>'Surface water'!BV$28</f>
        <v>2</v>
      </c>
      <c r="J13" s="147">
        <v>44698</v>
      </c>
      <c r="K13" s="148">
        <f>'Surface water'!$M$18</f>
        <v>5.7000000000000002E-2</v>
      </c>
      <c r="L13" s="148">
        <f>'Surface water'!$AA$18</f>
        <v>0.13</v>
      </c>
      <c r="M13" s="140">
        <f>'Surface water'!$AO$18</f>
        <v>0.14000000000000001</v>
      </c>
      <c r="N13" s="140">
        <f>'Surface water'!$AZ$18</f>
        <v>0.53</v>
      </c>
      <c r="O13" s="140">
        <f>'Surface water'!$BK$18</f>
        <v>0.15</v>
      </c>
      <c r="P13" s="140">
        <f>'Surface water'!$BV$18</f>
        <v>0.93</v>
      </c>
      <c r="S13" s="147">
        <v>44698</v>
      </c>
      <c r="T13" s="148">
        <f>'Surface water'!$M$16</f>
        <v>1.9E-2</v>
      </c>
      <c r="U13" s="148">
        <f>'Surface water'!$AA$16</f>
        <v>0.75</v>
      </c>
      <c r="V13" s="140">
        <f>'Surface water'!$AO$16</f>
        <v>0.56000000000000005</v>
      </c>
      <c r="W13" s="140">
        <f>'Surface water'!$AZ$16</f>
        <v>0.31</v>
      </c>
      <c r="X13" s="140">
        <f>'Surface water'!$BK$16</f>
        <v>0.56000000000000005</v>
      </c>
      <c r="Y13" s="140">
        <f>'Surface water'!$BV$16</f>
        <v>0.06</v>
      </c>
      <c r="AB13" s="147">
        <v>44698</v>
      </c>
      <c r="AC13" s="148">
        <f>'Surface water'!$M$14</f>
        <v>1.6</v>
      </c>
      <c r="AD13" s="148">
        <f>'Surface water'!$AA$14</f>
        <v>0.12</v>
      </c>
      <c r="AE13" s="140">
        <f>'Surface water'!$AO$14</f>
        <v>6.6</v>
      </c>
      <c r="AF13" s="140">
        <f>'Surface water'!$AZ$14</f>
        <v>1.9</v>
      </c>
      <c r="AG13" s="140">
        <f>'Surface water'!$BK$14</f>
        <v>8.4</v>
      </c>
      <c r="AH13" s="140">
        <f>'Surface water'!$BV$14</f>
        <v>1.4</v>
      </c>
    </row>
    <row r="14" spans="1:35" x14ac:dyDescent="0.35">
      <c r="A14" s="147">
        <v>44754</v>
      </c>
      <c r="B14" s="148">
        <f>'Surface water'!N$28</f>
        <v>0.26</v>
      </c>
      <c r="C14" s="148">
        <f>'Surface water'!AB$28</f>
        <v>6.5</v>
      </c>
      <c r="D14" s="140">
        <f>'Surface water'!AP$28</f>
        <v>7</v>
      </c>
      <c r="E14" s="140">
        <f>'Surface water'!BA$28</f>
        <v>4.9000000000000004</v>
      </c>
      <c r="F14" s="140">
        <f>'Surface water'!BL$28</f>
        <v>4</v>
      </c>
      <c r="G14" s="140">
        <f>'Surface water'!BW$28</f>
        <v>0.73</v>
      </c>
      <c r="J14" s="147">
        <v>44754</v>
      </c>
      <c r="K14" s="148">
        <f>'Surface water'!$N$18</f>
        <v>0.05</v>
      </c>
      <c r="L14" s="148">
        <f>'Surface water'!$AB$18</f>
        <v>1.1000000000000001</v>
      </c>
      <c r="M14" s="140">
        <f>'Surface water'!$AP$18</f>
        <v>0.89</v>
      </c>
      <c r="N14" s="140">
        <f>'Surface water'!$BA$18</f>
        <v>0.63</v>
      </c>
      <c r="O14" s="140">
        <f>'Surface water'!$BL$18</f>
        <v>0.35</v>
      </c>
      <c r="P14" s="140">
        <f>'Surface water'!$BW$18</f>
        <v>0.33</v>
      </c>
      <c r="S14" s="147">
        <v>44754</v>
      </c>
      <c r="T14" s="148">
        <f>'Surface water'!$N$16</f>
        <v>4.8000000000000001E-2</v>
      </c>
      <c r="U14" s="148">
        <f>'Surface water'!$AB$16</f>
        <v>0.13</v>
      </c>
      <c r="V14" s="140">
        <f>'Surface water'!$AP$16</f>
        <v>6.8000000000000005E-2</v>
      </c>
      <c r="W14" s="140">
        <f>'Surface water'!$BA$16</f>
        <v>0.15</v>
      </c>
      <c r="X14" s="140">
        <f>'Surface water'!$BL$16</f>
        <v>4.7E-2</v>
      </c>
      <c r="Y14" s="140" t="str">
        <f>'Surface water'!$BW$16</f>
        <v>&lt;0.01</v>
      </c>
      <c r="AB14" s="147">
        <v>44754</v>
      </c>
      <c r="AC14" s="148">
        <f>'Surface water'!$N$14</f>
        <v>1.7</v>
      </c>
      <c r="AD14" s="148">
        <f>'Surface water'!$AB$14</f>
        <v>4.5999999999999999E-2</v>
      </c>
      <c r="AE14" s="140">
        <f>'Surface water'!$AP$14</f>
        <v>0.04</v>
      </c>
      <c r="AF14" s="140">
        <f>'Surface water'!$BA$14</f>
        <v>3.6999999999999998E-2</v>
      </c>
      <c r="AG14" s="140">
        <f>'Surface water'!$BL$14</f>
        <v>2.3E-2</v>
      </c>
      <c r="AH14" s="140" t="str">
        <f>'Surface water'!$BW$14</f>
        <v>&lt;0.02</v>
      </c>
    </row>
    <row r="15" spans="1:35" x14ac:dyDescent="0.35">
      <c r="A15" s="147">
        <v>44860</v>
      </c>
      <c r="B15" s="148">
        <f>'Surface water'!O$28</f>
        <v>7.3999999999999996E-2</v>
      </c>
      <c r="C15" s="148">
        <f>'Surface water'!AC$28</f>
        <v>0.35</v>
      </c>
      <c r="D15" s="140">
        <f>'Surface water'!AQ$28</f>
        <v>3.4</v>
      </c>
      <c r="E15" s="140">
        <f>'Surface water'!BB$28</f>
        <v>0.26</v>
      </c>
      <c r="F15" s="140">
        <f>'Surface water'!BM$28</f>
        <v>1.3</v>
      </c>
      <c r="G15" s="140">
        <f>'Surface water'!BX$28</f>
        <v>0.38</v>
      </c>
      <c r="J15" s="147">
        <v>44860</v>
      </c>
      <c r="K15" s="148">
        <f>'Surface water'!$O$18</f>
        <v>1.6E-2</v>
      </c>
      <c r="L15" s="148">
        <f>'Surface water'!$AC$18</f>
        <v>4.1000000000000002E-2</v>
      </c>
      <c r="M15" s="140">
        <f>'Surface water'!$AQ$18</f>
        <v>0.16</v>
      </c>
      <c r="N15" s="140">
        <f>'Surface water'!$BB$18</f>
        <v>8.1000000000000003E-2</v>
      </c>
      <c r="O15" s="140">
        <f>'Surface water'!$BM$18</f>
        <v>0.18</v>
      </c>
      <c r="P15" s="140">
        <f>'Surface water'!$BX$18</f>
        <v>0.16</v>
      </c>
      <c r="S15" s="147">
        <v>44860</v>
      </c>
      <c r="T15" s="148">
        <f>'Surface water'!$O$16</f>
        <v>1.4E-2</v>
      </c>
      <c r="U15" s="148">
        <f>'Surface water'!$AC$16</f>
        <v>5.8999999999999997E-2</v>
      </c>
      <c r="V15" s="140">
        <f>'Surface water'!$AQ$16</f>
        <v>0.95</v>
      </c>
      <c r="W15" s="140">
        <f>'Surface water'!$BB$16</f>
        <v>0.01</v>
      </c>
      <c r="X15" s="140">
        <f>'Surface water'!$BM$16</f>
        <v>5.2999999999999999E-2</v>
      </c>
      <c r="Y15" s="140">
        <f>'Surface water'!$BX$16</f>
        <v>0.01</v>
      </c>
      <c r="AB15" s="147">
        <v>44860</v>
      </c>
      <c r="AC15" s="148">
        <f>'Surface water'!$O$14</f>
        <v>0.02</v>
      </c>
      <c r="AD15" s="148">
        <f>'Surface water'!$AC$14</f>
        <v>3.3000000000000002E-2</v>
      </c>
      <c r="AE15" s="140">
        <f>'Surface water'!$AQ$14</f>
        <v>0.41</v>
      </c>
      <c r="AF15" s="140">
        <f>'Surface water'!$BB$14</f>
        <v>0.02</v>
      </c>
      <c r="AG15" s="140">
        <f>'Surface water'!$BM$14</f>
        <v>0.71</v>
      </c>
      <c r="AH15" s="140">
        <f>'Surface water'!$BX$14</f>
        <v>0.02</v>
      </c>
    </row>
    <row r="16" spans="1:35" x14ac:dyDescent="0.35">
      <c r="B16" t="s">
        <v>377</v>
      </c>
    </row>
    <row r="19" spans="2:5" x14ac:dyDescent="0.35">
      <c r="B19" s="23"/>
      <c r="C19" s="23"/>
      <c r="D19" s="23"/>
      <c r="E19" s="23"/>
    </row>
    <row r="21" spans="2:5" x14ac:dyDescent="0.35">
      <c r="B21" s="23"/>
      <c r="C21" s="23"/>
      <c r="D21" s="23"/>
      <c r="E21" s="23"/>
    </row>
    <row r="23" spans="2:5" x14ac:dyDescent="0.35">
      <c r="B23" s="23"/>
      <c r="C23" s="23"/>
      <c r="D23" s="23"/>
      <c r="E23" s="23"/>
    </row>
    <row r="25" spans="2:5" x14ac:dyDescent="0.35">
      <c r="B25" s="23"/>
      <c r="C25" s="23"/>
      <c r="D25" s="23"/>
      <c r="E25" s="23"/>
    </row>
    <row r="27" spans="2:5" x14ac:dyDescent="0.35">
      <c r="B27" s="23"/>
      <c r="C27" s="23"/>
      <c r="D27" s="23"/>
      <c r="E27" s="23"/>
    </row>
    <row r="29" spans="2:5" x14ac:dyDescent="0.35">
      <c r="B29" s="23"/>
      <c r="C29" s="23"/>
      <c r="D29" s="23"/>
      <c r="E29" s="23"/>
    </row>
    <row r="33" spans="1:35" x14ac:dyDescent="0.35">
      <c r="K33" s="23"/>
      <c r="L33" s="23"/>
      <c r="M33" s="23"/>
      <c r="N33" s="23"/>
    </row>
    <row r="34" spans="1:35" x14ac:dyDescent="0.35">
      <c r="C34" s="129" t="s">
        <v>52</v>
      </c>
      <c r="L34" s="129" t="s">
        <v>370</v>
      </c>
      <c r="U34" s="5" t="s">
        <v>498</v>
      </c>
      <c r="AD34" s="129" t="s">
        <v>209</v>
      </c>
    </row>
    <row r="35" spans="1:35" x14ac:dyDescent="0.35">
      <c r="B35" s="129">
        <v>0</v>
      </c>
      <c r="C35" s="129">
        <f>50+24</f>
        <v>74</v>
      </c>
      <c r="D35" s="129">
        <f>C35+35</f>
        <v>109</v>
      </c>
      <c r="E35" s="129">
        <f>D35+25</f>
        <v>134</v>
      </c>
      <c r="F35" s="129">
        <f>E35+15</f>
        <v>149</v>
      </c>
      <c r="G35" s="129">
        <f>F35+480</f>
        <v>629</v>
      </c>
      <c r="H35" s="130"/>
      <c r="K35" s="129">
        <v>0</v>
      </c>
      <c r="L35" s="129">
        <f>50+24</f>
        <v>74</v>
      </c>
      <c r="M35" s="129">
        <f>L35+35</f>
        <v>109</v>
      </c>
      <c r="N35" s="129">
        <f>M35+25</f>
        <v>134</v>
      </c>
      <c r="O35" s="129">
        <f>N35+15</f>
        <v>149</v>
      </c>
      <c r="P35" s="129">
        <f>O35+480</f>
        <v>629</v>
      </c>
      <c r="Q35" s="130"/>
      <c r="T35" s="129">
        <v>0</v>
      </c>
      <c r="U35" s="129">
        <f>50+24</f>
        <v>74</v>
      </c>
      <c r="V35" s="129">
        <f>U35+35</f>
        <v>109</v>
      </c>
      <c r="W35" s="129">
        <f>V35+25</f>
        <v>134</v>
      </c>
      <c r="X35" s="129">
        <f>W35+15</f>
        <v>149</v>
      </c>
      <c r="Y35" s="129">
        <f>X35+480</f>
        <v>629</v>
      </c>
      <c r="Z35" s="130"/>
      <c r="AC35" s="129">
        <v>0</v>
      </c>
      <c r="AD35" s="129">
        <f>50+24</f>
        <v>74</v>
      </c>
      <c r="AE35" s="129">
        <f>AD35+35</f>
        <v>109</v>
      </c>
      <c r="AF35" s="129">
        <f>AE35+25</f>
        <v>134</v>
      </c>
      <c r="AG35" s="129">
        <f>AF35+15</f>
        <v>149</v>
      </c>
      <c r="AH35" s="129">
        <f>AG35+480</f>
        <v>629</v>
      </c>
      <c r="AI35" s="130"/>
    </row>
    <row r="36" spans="1:35" x14ac:dyDescent="0.35">
      <c r="B36" s="146">
        <v>201</v>
      </c>
      <c r="C36" s="146">
        <v>203</v>
      </c>
      <c r="D36" s="146">
        <v>205</v>
      </c>
      <c r="E36" s="146">
        <v>206</v>
      </c>
      <c r="F36" s="146">
        <v>207</v>
      </c>
      <c r="G36" s="146">
        <v>208</v>
      </c>
      <c r="K36" s="146">
        <v>201</v>
      </c>
      <c r="L36" s="146">
        <v>203</v>
      </c>
      <c r="M36" s="146">
        <v>205</v>
      </c>
      <c r="N36" s="146">
        <v>206</v>
      </c>
      <c r="O36" s="146">
        <v>207</v>
      </c>
      <c r="P36" s="146">
        <v>208</v>
      </c>
      <c r="Q36" s="130"/>
      <c r="T36" s="146">
        <v>201</v>
      </c>
      <c r="U36" s="146">
        <v>203</v>
      </c>
      <c r="V36" s="146">
        <v>205</v>
      </c>
      <c r="W36" s="146">
        <v>206</v>
      </c>
      <c r="X36" s="146">
        <v>207</v>
      </c>
      <c r="Y36" s="146">
        <v>208</v>
      </c>
      <c r="Z36" s="130"/>
      <c r="AC36" s="146">
        <v>201</v>
      </c>
      <c r="AD36" s="146">
        <v>203</v>
      </c>
      <c r="AE36" s="146">
        <v>205</v>
      </c>
      <c r="AF36" s="146">
        <v>206</v>
      </c>
      <c r="AG36" s="146">
        <v>207</v>
      </c>
      <c r="AH36" s="146">
        <v>208</v>
      </c>
      <c r="AI36" s="130"/>
    </row>
    <row r="37" spans="1:35" x14ac:dyDescent="0.35">
      <c r="A37" s="214">
        <v>43864</v>
      </c>
      <c r="B37" s="215" t="str">
        <f>'Surface water'!$E37</f>
        <v xml:space="preserve">&lt; 0,2	</v>
      </c>
      <c r="C37" s="216">
        <f>'Surface water'!$S37</f>
        <v>86</v>
      </c>
      <c r="D37" s="216">
        <f>'Surface water'!$AG37</f>
        <v>76</v>
      </c>
      <c r="E37" s="216">
        <f>'Surface water'!$AR37</f>
        <v>67</v>
      </c>
      <c r="F37" s="216">
        <f>'Surface water'!$BC37</f>
        <v>65</v>
      </c>
      <c r="G37" s="216">
        <f>'Surface water'!$BN37</f>
        <v>4.7</v>
      </c>
      <c r="J37" s="214">
        <v>43864</v>
      </c>
      <c r="K37" s="215">
        <f>'Surface water'!$E40</f>
        <v>0</v>
      </c>
      <c r="L37" s="216">
        <f>'Surface water'!$S40</f>
        <v>15</v>
      </c>
      <c r="M37" s="216">
        <f>'Surface water'!$AG40</f>
        <v>15</v>
      </c>
      <c r="N37" s="216">
        <f>'Surface water'!$AR40</f>
        <v>13</v>
      </c>
      <c r="O37" s="216">
        <f>'Surface water'!$BC40</f>
        <v>13</v>
      </c>
      <c r="P37" s="216">
        <f>'Surface water'!$BN40</f>
        <v>1.2</v>
      </c>
      <c r="S37" s="214">
        <v>43864</v>
      </c>
      <c r="T37" s="215" t="str">
        <f>'Surface water'!$E34</f>
        <v xml:space="preserve">&lt; 10	</v>
      </c>
      <c r="U37" s="216">
        <f>'Surface water'!$S34</f>
        <v>130</v>
      </c>
      <c r="V37" s="216">
        <f>'Surface water'!$AG34</f>
        <v>110</v>
      </c>
      <c r="W37" s="216">
        <f>'Surface water'!$AR34</f>
        <v>100</v>
      </c>
      <c r="X37" s="216">
        <f>'Surface water'!$BC34</f>
        <v>99</v>
      </c>
      <c r="Y37" s="216" t="str">
        <f>'Surface water'!BN34</f>
        <v xml:space="preserve">&lt; 10	</v>
      </c>
      <c r="AB37" s="214">
        <v>43864</v>
      </c>
      <c r="AC37" s="215">
        <f>'Surface water'!$E15</f>
        <v>6.4000000000000001E-2</v>
      </c>
      <c r="AD37" s="217">
        <f>'Surface water'!$S15</f>
        <v>2</v>
      </c>
      <c r="AE37" s="217">
        <f>'Surface water'!$AG15</f>
        <v>1.2</v>
      </c>
      <c r="AF37" s="217">
        <f>'Surface water'!$AR15</f>
        <v>1.2</v>
      </c>
      <c r="AG37" s="217">
        <f>'Surface water'!$BC15</f>
        <v>1.3</v>
      </c>
      <c r="AH37" s="217">
        <f>'Surface water'!$BN15</f>
        <v>0.48</v>
      </c>
    </row>
    <row r="38" spans="1:35" x14ac:dyDescent="0.35">
      <c r="A38" s="214">
        <v>43920</v>
      </c>
      <c r="B38" s="215" t="str">
        <f>'Surface water'!$F37</f>
        <v xml:space="preserve">&lt; 0,2	</v>
      </c>
      <c r="C38" s="216">
        <f>'Surface water'!$T37</f>
        <v>180</v>
      </c>
      <c r="D38" s="216">
        <f>'Surface water'!$AH37</f>
        <v>100</v>
      </c>
      <c r="E38" s="216">
        <f>'Surface water'!$AS37</f>
        <v>83</v>
      </c>
      <c r="F38" s="216">
        <f>'Surface water'!$BD37</f>
        <v>75</v>
      </c>
      <c r="G38" s="216">
        <f>'Surface water'!$BO37</f>
        <v>35</v>
      </c>
      <c r="J38" s="214">
        <v>43920</v>
      </c>
      <c r="K38" s="215">
        <f>'Surface water'!$F40</f>
        <v>0</v>
      </c>
      <c r="L38" s="216">
        <f>'Surface water'!$T40</f>
        <v>27</v>
      </c>
      <c r="M38" s="216">
        <f>'Surface water'!$AH40</f>
        <v>21</v>
      </c>
      <c r="N38" s="216">
        <f>'Surface water'!$AS40</f>
        <v>17</v>
      </c>
      <c r="O38" s="216">
        <f>'Surface water'!$BD40</f>
        <v>16</v>
      </c>
      <c r="P38" s="216">
        <f>'Surface water'!$BO40</f>
        <v>9.3000000000000007</v>
      </c>
      <c r="S38" s="214">
        <v>43920</v>
      </c>
      <c r="T38" s="215" t="str">
        <f>'Surface water'!$F34</f>
        <v xml:space="preserve">&lt; 10	</v>
      </c>
      <c r="U38" s="216">
        <f>'Surface water'!$T34</f>
        <v>280</v>
      </c>
      <c r="V38" s="216">
        <f>'Surface water'!$AH34</f>
        <v>160</v>
      </c>
      <c r="W38" s="216">
        <f>'Surface water'!$AS34</f>
        <v>130</v>
      </c>
      <c r="X38" s="216">
        <f>'Surface water'!$BD34</f>
        <v>120</v>
      </c>
      <c r="Y38" s="216">
        <f>'Surface water'!$BO34</f>
        <v>61</v>
      </c>
      <c r="AB38" s="214">
        <v>43920</v>
      </c>
      <c r="AC38" s="215">
        <f>'Surface water'!$F15</f>
        <v>0.1</v>
      </c>
      <c r="AD38" s="217">
        <f>'Surface water'!$T15</f>
        <v>0.5</v>
      </c>
      <c r="AE38" s="217">
        <f>'Surface water'!$AH15</f>
        <v>0.86</v>
      </c>
      <c r="AF38" s="217">
        <f>'Surface water'!$AS15</f>
        <v>0.87</v>
      </c>
      <c r="AG38" s="217">
        <f>'Surface water'!$BD15</f>
        <v>1.6</v>
      </c>
      <c r="AH38" s="217">
        <f>'Surface water'!$BO15</f>
        <v>1.5</v>
      </c>
    </row>
    <row r="39" spans="1:35" x14ac:dyDescent="0.35">
      <c r="A39" s="214">
        <v>43986</v>
      </c>
      <c r="B39" s="215" t="str">
        <f>'Surface water'!$G37</f>
        <v>&lt;0.20</v>
      </c>
      <c r="C39" s="216">
        <f>'Surface water'!$U37</f>
        <v>170</v>
      </c>
      <c r="D39" s="216">
        <f>'Surface water'!$AI37</f>
        <v>320</v>
      </c>
      <c r="E39" s="216">
        <f>'Surface water'!$AT37</f>
        <v>92</v>
      </c>
      <c r="F39" s="216">
        <f>'Surface water'!$BE37</f>
        <v>35</v>
      </c>
      <c r="G39" s="216">
        <f>'Surface water'!$BP37</f>
        <v>24</v>
      </c>
      <c r="J39" s="214">
        <v>43986</v>
      </c>
      <c r="K39" s="215" t="str">
        <f>'Surface water'!$G40</f>
        <v>&lt;0.4</v>
      </c>
      <c r="L39" s="216">
        <f>'Surface water'!$U40</f>
        <v>34</v>
      </c>
      <c r="M39" s="216">
        <f>'Surface water'!$AI40</f>
        <v>69</v>
      </c>
      <c r="N39" s="216">
        <f>'Surface water'!$AT40</f>
        <v>35</v>
      </c>
      <c r="O39" s="216">
        <f>'Surface water'!$BE40</f>
        <v>17</v>
      </c>
      <c r="P39" s="217">
        <f>'Surface water'!$BP40</f>
        <v>6.4</v>
      </c>
      <c r="S39" s="214">
        <v>43986</v>
      </c>
      <c r="T39" s="215" t="str">
        <f>'Surface water'!$G34</f>
        <v>&lt;50</v>
      </c>
      <c r="U39" s="216">
        <f>'Surface water'!$U34</f>
        <v>280</v>
      </c>
      <c r="V39" s="216">
        <f>'Surface water'!$AI34</f>
        <v>530</v>
      </c>
      <c r="W39" s="216">
        <f>'Surface water'!$AT34</f>
        <v>190</v>
      </c>
      <c r="X39" s="216">
        <f>'Surface water'!$BE34</f>
        <v>93</v>
      </c>
      <c r="Y39" s="217">
        <f>'Surface water'!$BP34</f>
        <v>35</v>
      </c>
      <c r="AB39" s="214">
        <v>43986</v>
      </c>
      <c r="AC39" s="215">
        <f>'Surface water'!$G15</f>
        <v>3.3000000000000002E-2</v>
      </c>
      <c r="AD39" s="215">
        <f>'Surface water'!$U15</f>
        <v>0.42</v>
      </c>
      <c r="AE39" s="215">
        <f>'Surface water'!$AI15</f>
        <v>0.56999999999999995</v>
      </c>
      <c r="AF39" s="215">
        <f>'Surface water'!$AT15</f>
        <v>0.22</v>
      </c>
      <c r="AG39" s="215">
        <f>'Surface water'!$BE15</f>
        <v>0.2</v>
      </c>
      <c r="AH39" s="215">
        <f>'Surface water'!$BP15</f>
        <v>0.15</v>
      </c>
    </row>
    <row r="40" spans="1:35" x14ac:dyDescent="0.35">
      <c r="A40" s="147">
        <v>43925</v>
      </c>
      <c r="B40" s="218" t="s">
        <v>453</v>
      </c>
      <c r="C40" s="143">
        <f t="shared" ref="C40" si="4">AVERAGE(C37:C39)</f>
        <v>145.33333333333334</v>
      </c>
      <c r="D40" s="143">
        <f t="shared" ref="D40" si="5">AVERAGE(D37:D39)</f>
        <v>165.33333333333334</v>
      </c>
      <c r="E40" s="143">
        <f t="shared" ref="E40" si="6">AVERAGE(E37:E39)</f>
        <v>80.666666666666671</v>
      </c>
      <c r="F40" s="143">
        <f t="shared" ref="F40" si="7">AVERAGE(F37:F39)</f>
        <v>58.333333333333336</v>
      </c>
      <c r="G40" s="143">
        <f t="shared" ref="G40" si="8">AVERAGE(G37:G39)</f>
        <v>21.233333333333334</v>
      </c>
      <c r="J40" s="147">
        <v>43925</v>
      </c>
      <c r="K40" s="218" t="s">
        <v>452</v>
      </c>
      <c r="L40" s="143">
        <f t="shared" ref="L40" si="9">AVERAGE(L37:L39)</f>
        <v>25.333333333333332</v>
      </c>
      <c r="M40" s="143">
        <f t="shared" ref="M40" si="10">AVERAGE(M37:M39)</f>
        <v>35</v>
      </c>
      <c r="N40" s="143">
        <f t="shared" ref="N40" si="11">AVERAGE(N37:N39)</f>
        <v>21.666666666666668</v>
      </c>
      <c r="O40" s="143">
        <f t="shared" ref="O40" si="12">AVERAGE(O37:O39)</f>
        <v>15.333333333333334</v>
      </c>
      <c r="P40" s="143">
        <f t="shared" ref="P40" si="13">AVERAGE(P37:P39)</f>
        <v>5.6333333333333329</v>
      </c>
      <c r="S40" s="147">
        <v>43925</v>
      </c>
      <c r="T40" s="218" t="s">
        <v>106</v>
      </c>
      <c r="U40" s="143">
        <f t="shared" ref="U40" si="14">AVERAGE(U37:U39)</f>
        <v>230</v>
      </c>
      <c r="V40" s="143">
        <f t="shared" ref="V40" si="15">AVERAGE(V37:V39)</f>
        <v>266.66666666666669</v>
      </c>
      <c r="W40" s="143">
        <f t="shared" ref="W40" si="16">AVERAGE(W37:W39)</f>
        <v>140</v>
      </c>
      <c r="X40" s="143">
        <f t="shared" ref="X40" si="17">AVERAGE(X37:X39)</f>
        <v>104</v>
      </c>
      <c r="Y40" s="143">
        <f t="shared" ref="Y40" si="18">AVERAGE(Y37:Y39)</f>
        <v>48</v>
      </c>
      <c r="AB40" s="147">
        <v>43925</v>
      </c>
      <c r="AC40" s="148">
        <f t="shared" ref="AC40" si="19">AVERAGE(AC37:AC39)</f>
        <v>6.5666666666666665E-2</v>
      </c>
      <c r="AD40" s="148">
        <f t="shared" ref="AD40" si="20">AVERAGE(AD37:AD39)</f>
        <v>0.97333333333333327</v>
      </c>
      <c r="AE40" s="148">
        <f t="shared" ref="AE40" si="21">AVERAGE(AE37:AE39)</f>
        <v>0.87666666666666659</v>
      </c>
      <c r="AF40" s="148">
        <f t="shared" ref="AF40" si="22">AVERAGE(AF37:AF39)</f>
        <v>0.76333333333333331</v>
      </c>
      <c r="AG40" s="148">
        <f t="shared" ref="AG40" si="23">AVERAGE(AG37:AG39)</f>
        <v>1.0333333333333334</v>
      </c>
      <c r="AH40" s="148">
        <f t="shared" ref="AH40" si="24">AVERAGE(AH37:AH39)</f>
        <v>0.71</v>
      </c>
    </row>
    <row r="41" spans="1:35" x14ac:dyDescent="0.35">
      <c r="A41" s="147">
        <v>44201</v>
      </c>
      <c r="B41" s="148" t="str">
        <f>'Surface water'!$H37</f>
        <v>&lt;0.20</v>
      </c>
      <c r="C41" s="143">
        <f>'Surface water'!$V37</f>
        <v>11</v>
      </c>
      <c r="D41" s="143">
        <f>'Surface water'!$AJ37</f>
        <v>39</v>
      </c>
      <c r="E41" s="143">
        <f>'Surface water'!$AU37</f>
        <v>38</v>
      </c>
      <c r="F41" s="143">
        <f>'Surface water'!$BF37</f>
        <v>41</v>
      </c>
      <c r="G41" s="143">
        <f>'Surface water'!$BQ37</f>
        <v>12</v>
      </c>
      <c r="J41" s="147">
        <v>44201</v>
      </c>
      <c r="K41" s="148" t="str">
        <f>'Surface water'!$H40</f>
        <v>&lt;0.40</v>
      </c>
      <c r="L41" s="140">
        <f>'Surface water'!$V40</f>
        <v>1.4</v>
      </c>
      <c r="M41" s="140">
        <f>'Surface water'!$AJ40</f>
        <v>5.2</v>
      </c>
      <c r="N41" s="140">
        <f>'Surface water'!$AU40</f>
        <v>5.0999999999999996</v>
      </c>
      <c r="O41" s="140">
        <f>'Surface water'!$BF40</f>
        <v>5.7</v>
      </c>
      <c r="P41" s="140">
        <f>'Surface water'!$BQ40</f>
        <v>2.1</v>
      </c>
      <c r="S41" s="147">
        <v>44201</v>
      </c>
      <c r="T41" s="148" t="str">
        <f>'Surface water'!$H34</f>
        <v>&lt;50</v>
      </c>
      <c r="U41" s="148" t="str">
        <f>'Surface water'!$V34</f>
        <v>&lt;50</v>
      </c>
      <c r="V41" s="143">
        <f>'Surface water'!$AJ34</f>
        <v>44</v>
      </c>
      <c r="W41" s="143">
        <f>'Surface water'!$AU34</f>
        <v>43</v>
      </c>
      <c r="X41" s="143">
        <f>'Surface water'!$BF34</f>
        <v>49</v>
      </c>
      <c r="Y41" s="140" t="str">
        <f>'Surface water'!$BQ34</f>
        <v>&lt;50</v>
      </c>
      <c r="AB41" s="147">
        <v>44201</v>
      </c>
      <c r="AC41" s="148" t="str">
        <f>'Surface water'!$H15</f>
        <v>&lt;0.01</v>
      </c>
      <c r="AD41" s="148">
        <f>'Surface water'!$V15</f>
        <v>2.1000000000000001E-2</v>
      </c>
      <c r="AE41" s="148">
        <f>'Surface water'!$AJ15</f>
        <v>9.5000000000000001E-2</v>
      </c>
      <c r="AF41" s="148">
        <f>'Surface water'!$AU15</f>
        <v>0.13</v>
      </c>
      <c r="AG41" s="140">
        <f>'Surface water'!$BF15</f>
        <v>0.17</v>
      </c>
      <c r="AH41" s="140">
        <f>'Surface water'!$BQ15</f>
        <v>0.26</v>
      </c>
    </row>
    <row r="42" spans="1:35" x14ac:dyDescent="0.35">
      <c r="A42" s="147">
        <v>44281</v>
      </c>
      <c r="B42" s="148" t="str">
        <f>'Surface water'!$I37</f>
        <v>&lt;0.20</v>
      </c>
      <c r="C42" s="143">
        <f>'Surface water'!$W37</f>
        <v>7.6</v>
      </c>
      <c r="D42" s="143">
        <f>'Surface water'!$AK37</f>
        <v>33</v>
      </c>
      <c r="E42" s="143">
        <f>'Surface water'!$AV37</f>
        <v>31</v>
      </c>
      <c r="F42" s="143">
        <f>'Surface water'!$BG37</f>
        <v>27</v>
      </c>
      <c r="G42" s="143">
        <f>'Surface water'!$BR37</f>
        <v>10</v>
      </c>
      <c r="J42" s="147">
        <v>44281</v>
      </c>
      <c r="K42" s="148" t="str">
        <f>'Surface water'!$I40</f>
        <v>&lt;0.40</v>
      </c>
      <c r="L42" s="140">
        <f>'Surface water'!$W40</f>
        <v>0.77</v>
      </c>
      <c r="M42" s="140">
        <f>'Surface water'!$AK40</f>
        <v>4.0999999999999996</v>
      </c>
      <c r="N42" s="140">
        <f>'Surface water'!$AV40</f>
        <v>3.8</v>
      </c>
      <c r="O42" s="140">
        <f>'Surface water'!$BG40</f>
        <v>3.6</v>
      </c>
      <c r="P42" s="140">
        <f>'Surface water'!$BR40</f>
        <v>2.1</v>
      </c>
      <c r="S42" s="147">
        <v>44281</v>
      </c>
      <c r="T42" s="148" t="str">
        <f>'Surface water'!$I34</f>
        <v>&lt;50</v>
      </c>
      <c r="U42" s="143" t="str">
        <f>'Surface water'!$W34</f>
        <v>&lt;50</v>
      </c>
      <c r="V42" s="143">
        <f>'Surface water'!$AK34</f>
        <v>39</v>
      </c>
      <c r="W42" s="143">
        <f>'Surface water'!$AV34</f>
        <v>37</v>
      </c>
      <c r="X42" s="143">
        <f>'Surface water'!$BG34</f>
        <v>32</v>
      </c>
      <c r="Y42" s="140" t="str">
        <f>'Surface water'!$BR34</f>
        <v>&lt;50</v>
      </c>
      <c r="AB42" s="147">
        <v>44281</v>
      </c>
      <c r="AC42" s="148" t="str">
        <f>'Surface water'!$I15</f>
        <v>&lt;0.010</v>
      </c>
      <c r="AD42" s="148">
        <f>'Surface water'!$W15</f>
        <v>2.5999999999999999E-2</v>
      </c>
      <c r="AE42" s="148">
        <f>'Surface water'!$AK15</f>
        <v>1.4E-2</v>
      </c>
      <c r="AF42" s="148">
        <f>'Surface water'!$AV15</f>
        <v>6.6000000000000003E-2</v>
      </c>
      <c r="AG42" s="148">
        <f>'Surface water'!$BG15</f>
        <v>1.4E-2</v>
      </c>
      <c r="AH42" s="148">
        <f>'Surface water'!$BR15</f>
        <v>3.9E-2</v>
      </c>
    </row>
    <row r="43" spans="1:35" x14ac:dyDescent="0.35">
      <c r="A43" s="147">
        <v>44349</v>
      </c>
      <c r="B43" s="148" t="str">
        <f>'Surface water'!$J37</f>
        <v>&lt;0.20</v>
      </c>
      <c r="C43" s="143" t="str">
        <f>'Surface water'!$X37</f>
        <v>&lt;0.20</v>
      </c>
      <c r="D43" s="143">
        <f>'Surface water'!$AL37</f>
        <v>3.9</v>
      </c>
      <c r="E43" s="143">
        <f>'Surface water'!$AW37</f>
        <v>53</v>
      </c>
      <c r="F43" s="143">
        <f>'Surface water'!$BH37</f>
        <v>55</v>
      </c>
      <c r="G43" s="140">
        <f>'Surface water'!$BS37</f>
        <v>8.6</v>
      </c>
      <c r="J43" s="147">
        <v>44349</v>
      </c>
      <c r="K43" s="148" t="str">
        <f>'Surface water'!$J40</f>
        <v>&lt;0.40</v>
      </c>
      <c r="L43" s="140" t="str">
        <f>'Surface water'!$X40</f>
        <v>&lt;0.40</v>
      </c>
      <c r="M43" s="140">
        <f>'Surface water'!$AL40</f>
        <v>1.5</v>
      </c>
      <c r="N43" s="143">
        <f>'Surface water'!$AW40</f>
        <v>11</v>
      </c>
      <c r="O43" s="143">
        <f>'Surface water'!$BH40</f>
        <v>12</v>
      </c>
      <c r="P43" s="140">
        <f>'Surface water'!$BS40</f>
        <v>3.2</v>
      </c>
      <c r="S43" s="147">
        <v>44349</v>
      </c>
      <c r="T43" s="148" t="str">
        <f>'Surface water'!$J34</f>
        <v>&lt;50</v>
      </c>
      <c r="U43" s="143" t="str">
        <f>'Surface water'!$X34</f>
        <v>&lt;50</v>
      </c>
      <c r="V43" s="143" t="str">
        <f>'Surface water'!$AL34</f>
        <v>&lt;50</v>
      </c>
      <c r="W43" s="143">
        <f>'Surface water'!$AW34</f>
        <v>60</v>
      </c>
      <c r="X43" s="143">
        <f>'Surface water'!$BH34</f>
        <v>86</v>
      </c>
      <c r="Y43" s="140" t="str">
        <f>'Surface water'!$BS34</f>
        <v>&lt;50</v>
      </c>
      <c r="AB43" s="147">
        <v>44349</v>
      </c>
      <c r="AC43" s="148" t="str">
        <f>'Surface water'!$J15</f>
        <v>&lt;0.010</v>
      </c>
      <c r="AD43" s="148">
        <f>'Surface water'!$X15</f>
        <v>2.5000000000000001E-2</v>
      </c>
      <c r="AE43" s="148">
        <f>'Surface water'!$AL15</f>
        <v>3.3000000000000002E-2</v>
      </c>
      <c r="AF43" s="148">
        <f>'Surface water'!$AW15</f>
        <v>2.9000000000000001E-2</v>
      </c>
      <c r="AG43" s="148">
        <f>'Surface water'!$BH15</f>
        <v>4.4999999999999998E-2</v>
      </c>
      <c r="AH43" s="148" t="str">
        <f>'Surface water'!$BS15</f>
        <v>&lt;0.055</v>
      </c>
    </row>
    <row r="44" spans="1:35" x14ac:dyDescent="0.35">
      <c r="A44" s="147">
        <v>44466</v>
      </c>
      <c r="B44" s="148" t="str">
        <f>'Surface water'!$K$37</f>
        <v>&lt;0.20</v>
      </c>
      <c r="C44" s="148" t="str">
        <f>'Surface water'!$Y$37</f>
        <v>&lt;0.20</v>
      </c>
      <c r="D44" s="143">
        <f>'Surface water'!$AM$37</f>
        <v>76</v>
      </c>
      <c r="E44" s="143">
        <f>'Surface water'!$AX$37</f>
        <v>62</v>
      </c>
      <c r="F44" s="143">
        <f>'Surface water'!$BI$37</f>
        <v>35</v>
      </c>
      <c r="G44" s="140" t="str">
        <f>'Surface water'!$BT$37</f>
        <v>&lt;0.2</v>
      </c>
      <c r="J44" s="147">
        <v>44466</v>
      </c>
      <c r="K44" s="148" t="str">
        <f>'Surface water'!$K$40</f>
        <v>&lt;0.40</v>
      </c>
      <c r="L44" s="148" t="str">
        <f>'Surface water'!$Y$40</f>
        <v>&lt;0.40</v>
      </c>
      <c r="M44" s="143">
        <f>'Surface water'!$AM$40</f>
        <v>12</v>
      </c>
      <c r="N44" s="140">
        <f>'Surface water'!$AX$40</f>
        <v>9.4</v>
      </c>
      <c r="O44" s="140">
        <f>'Surface water'!$BI$40</f>
        <v>6.1</v>
      </c>
      <c r="P44" s="140" t="str">
        <f>'Surface water'!$BT$40</f>
        <v>&lt;0.4</v>
      </c>
      <c r="S44" s="147">
        <v>44466</v>
      </c>
      <c r="T44" s="148" t="str">
        <f>'Surface water'!$K$34</f>
        <v>&lt;50</v>
      </c>
      <c r="U44" s="148" t="str">
        <f>'Surface water'!$Y$34</f>
        <v>&lt;50</v>
      </c>
      <c r="V44" s="143">
        <f>'Surface water'!$AM$34</f>
        <v>110</v>
      </c>
      <c r="W44" s="143">
        <f>'Surface water'!$AX$34</f>
        <v>90</v>
      </c>
      <c r="X44" s="140">
        <f>'Surface water'!$BI$34</f>
        <v>40</v>
      </c>
      <c r="Y44" s="140" t="str">
        <f>'Surface water'!$BT$34</f>
        <v>&lt;50</v>
      </c>
      <c r="AB44" s="147">
        <v>44466</v>
      </c>
      <c r="AC44" s="148">
        <f>'Surface water'!$K$15</f>
        <v>1.2E-2</v>
      </c>
      <c r="AD44" s="148">
        <f>'Surface water'!$Y$15</f>
        <v>0.15</v>
      </c>
      <c r="AE44" s="148">
        <f>'Surface water'!$AM$15</f>
        <v>0.4</v>
      </c>
      <c r="AF44" s="148">
        <f>'Surface water'!$AX$15</f>
        <v>0.32</v>
      </c>
      <c r="AG44" s="148">
        <f>'Surface water'!$BI$15</f>
        <v>0.27</v>
      </c>
      <c r="AH44" s="140" t="str">
        <f>'Surface water'!$BT$15</f>
        <v>&lt;0.055</v>
      </c>
    </row>
    <row r="45" spans="1:35" x14ac:dyDescent="0.35">
      <c r="A45" s="147">
        <v>44567</v>
      </c>
      <c r="B45" s="148" t="str">
        <f>'Surface water'!$L$37</f>
        <v>&lt;0.20</v>
      </c>
      <c r="C45" s="148">
        <f>'Surface water'!$Z$37</f>
        <v>4</v>
      </c>
      <c r="D45" s="143">
        <f>'Surface water'!$AN$37</f>
        <v>33</v>
      </c>
      <c r="E45" s="143">
        <f>'Surface water'!$AY$37</f>
        <v>20</v>
      </c>
      <c r="F45" s="143">
        <f>'Surface water'!$BJ$37</f>
        <v>19</v>
      </c>
      <c r="G45" s="140">
        <f>'Surface water'!$BU$37</f>
        <v>9.4</v>
      </c>
      <c r="J45" s="147">
        <v>44567</v>
      </c>
      <c r="K45" s="148" t="str">
        <f>'Surface water'!$L$40</f>
        <v>&lt;0.40</v>
      </c>
      <c r="L45" s="148" t="str">
        <f>'Surface water'!$Z$40</f>
        <v>&lt;0.40</v>
      </c>
      <c r="M45" s="140">
        <f>'Surface water'!$AN$40</f>
        <v>4</v>
      </c>
      <c r="N45" s="140">
        <f>'Surface water'!$AY$40</f>
        <v>2.8</v>
      </c>
      <c r="O45" s="140">
        <f>'Surface water'!$BJ$40</f>
        <v>2.9</v>
      </c>
      <c r="P45" s="140">
        <f>'Surface water'!$BU$40</f>
        <v>1.7</v>
      </c>
      <c r="S45" s="147">
        <v>44567</v>
      </c>
      <c r="T45" s="148" t="str">
        <f>'Surface water'!$L$34</f>
        <v>&lt;50</v>
      </c>
      <c r="U45" s="148" t="str">
        <f>'Surface water'!$Z$34</f>
        <v>&lt;50</v>
      </c>
      <c r="V45" s="143">
        <f>'Surface water'!$AN$34</f>
        <v>51</v>
      </c>
      <c r="W45" s="143" t="str">
        <f>'Surface water'!$AY$34</f>
        <v>&lt;50</v>
      </c>
      <c r="X45" s="140" t="str">
        <f>'Surface water'!$BJ$34</f>
        <v>&lt;50</v>
      </c>
      <c r="Y45" s="140" t="str">
        <f>'Surface water'!$BU$34</f>
        <v>&lt;50</v>
      </c>
      <c r="AB45" s="147">
        <v>44567</v>
      </c>
      <c r="AC45" s="148" t="str">
        <f>'Surface water'!$L$15</f>
        <v>&lt;0.010</v>
      </c>
      <c r="AD45" s="148" t="str">
        <f>'Surface water'!$Z$15</f>
        <v>&lt;0.010</v>
      </c>
      <c r="AE45" s="148" t="str">
        <f>'Surface water'!$AN$15</f>
        <v>&lt;0.050</v>
      </c>
      <c r="AF45" s="148">
        <f>'Surface water'!$AY$15</f>
        <v>6.2E-2</v>
      </c>
      <c r="AG45" s="148">
        <f>'Surface water'!$BJ$15</f>
        <v>7.4999999999999997E-2</v>
      </c>
      <c r="AH45" s="140">
        <f>'Surface water'!$BU$15</f>
        <v>0.17</v>
      </c>
    </row>
    <row r="46" spans="1:35" x14ac:dyDescent="0.35">
      <c r="A46" s="147">
        <v>44698</v>
      </c>
      <c r="B46" s="148">
        <f>'Surface water'!$M$37</f>
        <v>4.5</v>
      </c>
      <c r="C46" s="148">
        <f>'Surface water'!$AA$37</f>
        <v>190</v>
      </c>
      <c r="D46" s="143">
        <f>'Surface water'!$AO$37</f>
        <v>35</v>
      </c>
      <c r="E46" s="143">
        <f>'Surface water'!$AZ$37</f>
        <v>43</v>
      </c>
      <c r="F46" s="143">
        <f>'Surface water'!$BK$37</f>
        <v>28</v>
      </c>
      <c r="G46" s="140">
        <f>'Surface water'!$BV$37</f>
        <v>9.8000000000000007</v>
      </c>
      <c r="J46" s="147">
        <v>44698</v>
      </c>
      <c r="K46" s="148" t="str">
        <f>'Surface water'!$M$40</f>
        <v>&lt;0,4</v>
      </c>
      <c r="L46" s="143">
        <f>'Surface water'!$AA$40</f>
        <v>22</v>
      </c>
      <c r="M46" s="143">
        <f>'Surface water'!$AO$40</f>
        <v>11</v>
      </c>
      <c r="N46" s="140">
        <f>'Surface water'!$AZ$40</f>
        <v>5.5</v>
      </c>
      <c r="O46" s="140">
        <f>'Surface water'!$BK$40</f>
        <v>8.6</v>
      </c>
      <c r="P46" s="140">
        <f>'Surface water'!$BV$40</f>
        <v>1.6</v>
      </c>
      <c r="S46" s="147">
        <v>44698</v>
      </c>
      <c r="T46" s="148" t="str">
        <f>'Surface water'!$M$34</f>
        <v>&lt;80</v>
      </c>
      <c r="U46" s="143">
        <f>'Surface water'!$AA$34</f>
        <v>280</v>
      </c>
      <c r="V46" s="143" t="str">
        <f>'Surface water'!$AO$34</f>
        <v>&lt;80</v>
      </c>
      <c r="W46" s="143" t="str">
        <f>'Surface water'!$AZ$34</f>
        <v>&lt;80</v>
      </c>
      <c r="X46" s="143">
        <f>'Surface water'!$BK$34</f>
        <v>95</v>
      </c>
      <c r="Y46" s="140" t="str">
        <f>'Surface water'!$BV$34</f>
        <v>&lt;80</v>
      </c>
      <c r="AB46" s="147">
        <v>44698</v>
      </c>
      <c r="AC46" s="148" t="str">
        <f>'Surface water'!$M$15</f>
        <v>&lt;0,01</v>
      </c>
      <c r="AD46" s="148">
        <f>'Surface water'!$AA$15</f>
        <v>6.3E-2</v>
      </c>
      <c r="AE46" s="148">
        <f>'Surface water'!$AO$15</f>
        <v>0.1</v>
      </c>
      <c r="AF46" s="148">
        <f>'Surface water'!$AZ$15</f>
        <v>0.11</v>
      </c>
      <c r="AG46" s="148">
        <f>'Surface water'!$BK$15</f>
        <v>8.5000000000000006E-2</v>
      </c>
      <c r="AH46" s="140">
        <f>'Surface water'!$BV$15</f>
        <v>6.3E-2</v>
      </c>
    </row>
    <row r="47" spans="1:35" x14ac:dyDescent="0.35">
      <c r="A47" s="147">
        <v>44754</v>
      </c>
      <c r="B47" s="148">
        <f>'Surface water'!$N$37</f>
        <v>3.8</v>
      </c>
      <c r="C47" s="148">
        <f>'Surface water'!$AB$37</f>
        <v>320</v>
      </c>
      <c r="D47" s="143">
        <f>'Surface water'!$AP$37</f>
        <v>330</v>
      </c>
      <c r="E47" s="143">
        <f>'Surface water'!$BA$37</f>
        <v>33</v>
      </c>
      <c r="F47" s="143">
        <f>'Surface water'!$BL$37</f>
        <v>48</v>
      </c>
      <c r="G47" s="140">
        <f>'Surface water'!$BW$37</f>
        <v>2.5</v>
      </c>
      <c r="J47" s="147">
        <v>44754</v>
      </c>
      <c r="K47" s="148" t="str">
        <f>'Surface water'!$N$40</f>
        <v>&lt;0.4</v>
      </c>
      <c r="L47" s="143">
        <f>'Surface water'!$AB$40</f>
        <v>35</v>
      </c>
      <c r="M47" s="143">
        <f>'Surface water'!$AP$40</f>
        <v>37</v>
      </c>
      <c r="N47" s="140">
        <f>'Surface water'!$BA$40</f>
        <v>3.9</v>
      </c>
      <c r="O47" s="140">
        <f>'Surface water'!$BL$40</f>
        <v>5.7</v>
      </c>
      <c r="P47" s="140" t="str">
        <f>'Surface water'!$BW$40</f>
        <v>&lt;0.4</v>
      </c>
      <c r="S47" s="147">
        <v>44754</v>
      </c>
      <c r="T47" s="148" t="str">
        <f>'Surface water'!$N$34</f>
        <v>&lt;80</v>
      </c>
      <c r="U47" s="143">
        <f>'Surface water'!$AB$34</f>
        <v>460</v>
      </c>
      <c r="V47" s="143">
        <f>'Surface water'!$AP$34</f>
        <v>480</v>
      </c>
      <c r="W47" s="143" t="str">
        <f>'Surface water'!$BA$34</f>
        <v>&lt;80</v>
      </c>
      <c r="X47" s="143">
        <f>'Surface water'!$BL$34</f>
        <v>84</v>
      </c>
      <c r="Y47" s="140" t="str">
        <f>'Surface water'!$BW$34</f>
        <v>&lt;80</v>
      </c>
      <c r="AB47" s="147">
        <v>44754</v>
      </c>
      <c r="AC47" s="148">
        <f>'Surface water'!$N$15</f>
        <v>2.1000000000000001E-2</v>
      </c>
      <c r="AD47" s="148">
        <f>'Surface water'!$AB$15</f>
        <v>0.18</v>
      </c>
      <c r="AE47" s="148">
        <f>'Surface water'!$AP$15</f>
        <v>0.16</v>
      </c>
      <c r="AF47" s="148">
        <f>'Surface water'!$BA$15</f>
        <v>0.14000000000000001</v>
      </c>
      <c r="AG47" s="148">
        <f>'Surface water'!$BL$15</f>
        <v>7.1999999999999995E-2</v>
      </c>
      <c r="AH47" s="140">
        <f>'Surface water'!$BW$15</f>
        <v>4.3999999999999997E-2</v>
      </c>
    </row>
    <row r="48" spans="1:35" x14ac:dyDescent="0.35">
      <c r="A48" s="147">
        <v>44860</v>
      </c>
      <c r="B48" s="148">
        <f>'Surface water'!$O$37</f>
        <v>0.2</v>
      </c>
      <c r="C48" s="148">
        <f>'Surface water'!$AC$37</f>
        <v>0.2</v>
      </c>
      <c r="D48" s="143">
        <f>'Surface water'!$AQ$37</f>
        <v>120</v>
      </c>
      <c r="E48" s="143">
        <f>'Surface water'!$BB$37</f>
        <v>27</v>
      </c>
      <c r="F48" s="143">
        <f>'Surface water'!$BM$37</f>
        <v>18</v>
      </c>
      <c r="G48" s="140">
        <f>'Surface water'!$BX$37</f>
        <v>0.44</v>
      </c>
      <c r="J48" s="147">
        <v>44860</v>
      </c>
      <c r="K48" s="148">
        <f>'Surface water'!$O$40</f>
        <v>0.4</v>
      </c>
      <c r="L48" s="143">
        <f>'Surface water'!$AC$40</f>
        <v>0.4</v>
      </c>
      <c r="M48" s="143">
        <f>'Surface water'!$AQ$40</f>
        <v>14</v>
      </c>
      <c r="N48" s="140">
        <f>'Surface water'!$BB$40</f>
        <v>3.1</v>
      </c>
      <c r="O48" s="140">
        <f>'Surface water'!$BM$40</f>
        <v>2.2000000000000002</v>
      </c>
      <c r="P48" s="140">
        <f>'Surface water'!$BX$40</f>
        <v>0.4</v>
      </c>
      <c r="S48" s="147">
        <v>44860</v>
      </c>
      <c r="T48" s="148" t="str">
        <f>'Surface water'!$O$34</f>
        <v>&lt;80</v>
      </c>
      <c r="U48" s="143" t="str">
        <f>'Surface water'!$AC$34</f>
        <v>&lt;80</v>
      </c>
      <c r="V48" s="143">
        <f>'Surface water'!$AQ$34</f>
        <v>180</v>
      </c>
      <c r="W48" s="143" t="str">
        <f>'Surface water'!$BB$34</f>
        <v>&lt;80</v>
      </c>
      <c r="X48" s="143" t="str">
        <f>'Surface water'!$BM$34</f>
        <v>&lt;80</v>
      </c>
      <c r="Y48" s="140" t="str">
        <f>'Surface water'!$BX$34</f>
        <v>&lt;80</v>
      </c>
      <c r="AB48" s="147">
        <v>44860</v>
      </c>
      <c r="AC48" s="148">
        <f>'Surface water'!$N$15</f>
        <v>2.1000000000000001E-2</v>
      </c>
      <c r="AD48" s="148">
        <f>'Surface water'!$AC$15</f>
        <v>2.3E-2</v>
      </c>
      <c r="AE48" s="148">
        <f>'Surface water'!$AQ$15</f>
        <v>0.13</v>
      </c>
      <c r="AF48" s="148">
        <f>'Surface water'!$BB$15</f>
        <v>0.01</v>
      </c>
      <c r="AG48" s="148">
        <f>'Surface water'!$BM$15</f>
        <v>0.02</v>
      </c>
      <c r="AH48" s="140">
        <f>'Surface water'!$BX$15</f>
        <v>1.0999999999999999E-2</v>
      </c>
    </row>
    <row r="49" spans="11:14" x14ac:dyDescent="0.35">
      <c r="K49" s="23"/>
      <c r="L49" s="23"/>
      <c r="M49" s="23"/>
      <c r="N49" s="23"/>
    </row>
    <row r="51" spans="11:14" x14ac:dyDescent="0.35">
      <c r="K51" s="23"/>
      <c r="L51" s="23"/>
      <c r="M51" s="23"/>
      <c r="N51" s="23"/>
    </row>
    <row r="66" spans="1:16" x14ac:dyDescent="0.35">
      <c r="C66" s="5" t="s">
        <v>361</v>
      </c>
      <c r="L66" s="5" t="s">
        <v>25</v>
      </c>
    </row>
    <row r="67" spans="1:16" x14ac:dyDescent="0.35">
      <c r="B67" s="129">
        <v>0</v>
      </c>
      <c r="C67" s="129">
        <f>50+24</f>
        <v>74</v>
      </c>
      <c r="D67" s="129">
        <f>C67+35</f>
        <v>109</v>
      </c>
      <c r="E67" s="129">
        <f>D67+25</f>
        <v>134</v>
      </c>
      <c r="F67" s="129">
        <f>E67+15</f>
        <v>149</v>
      </c>
      <c r="G67" s="129">
        <f>F67+480</f>
        <v>629</v>
      </c>
      <c r="K67" s="129">
        <v>0</v>
      </c>
      <c r="L67" s="129">
        <f>50+24</f>
        <v>74</v>
      </c>
      <c r="M67" s="129">
        <f>L67+35</f>
        <v>109</v>
      </c>
      <c r="N67" s="129">
        <f>M67+25</f>
        <v>134</v>
      </c>
      <c r="O67" s="129">
        <f>N67+15</f>
        <v>149</v>
      </c>
      <c r="P67" s="129">
        <f>O67+480</f>
        <v>629</v>
      </c>
    </row>
    <row r="68" spans="1:16" x14ac:dyDescent="0.35">
      <c r="B68" s="146">
        <v>201</v>
      </c>
      <c r="C68" s="146">
        <v>203</v>
      </c>
      <c r="D68" s="146">
        <v>205</v>
      </c>
      <c r="E68" s="146">
        <v>206</v>
      </c>
      <c r="F68" s="146">
        <v>207</v>
      </c>
      <c r="G68" s="146">
        <v>208</v>
      </c>
      <c r="K68" s="146">
        <v>201</v>
      </c>
      <c r="L68" s="146">
        <v>203</v>
      </c>
      <c r="M68" s="146">
        <v>205</v>
      </c>
      <c r="N68" s="146">
        <v>206</v>
      </c>
      <c r="O68" s="146">
        <v>207</v>
      </c>
      <c r="P68" s="146">
        <v>208</v>
      </c>
    </row>
    <row r="69" spans="1:16" x14ac:dyDescent="0.35">
      <c r="A69" s="147">
        <v>43925</v>
      </c>
      <c r="B69" s="146"/>
      <c r="C69" s="146"/>
      <c r="D69" s="146"/>
      <c r="E69" s="146"/>
      <c r="F69" s="146"/>
      <c r="G69" s="146"/>
      <c r="J69" s="147">
        <v>43925</v>
      </c>
      <c r="K69" s="146"/>
      <c r="L69" s="146"/>
      <c r="M69" s="146"/>
      <c r="N69" s="146"/>
      <c r="O69" s="146"/>
      <c r="P69" s="146"/>
    </row>
    <row r="70" spans="1:16" x14ac:dyDescent="0.35">
      <c r="A70" s="147">
        <v>44201</v>
      </c>
      <c r="B70" s="148" t="str">
        <f>'Surface water'!$H44</f>
        <v>&lt;1</v>
      </c>
      <c r="C70" s="140" t="str">
        <f>'Surface water'!$V44</f>
        <v>&lt;1</v>
      </c>
      <c r="D70" s="143">
        <f>'Surface water'!$AJ44</f>
        <v>7.9</v>
      </c>
      <c r="E70" s="143">
        <f>'Surface water'!$AU44</f>
        <v>12</v>
      </c>
      <c r="F70" s="143">
        <f>'Surface water'!$BF44</f>
        <v>13</v>
      </c>
      <c r="G70" s="143">
        <f>'Surface water'!$BQ44</f>
        <v>7.5</v>
      </c>
      <c r="J70" s="147">
        <v>44201</v>
      </c>
      <c r="K70" s="143">
        <f>'Surface water'!H$10</f>
        <v>501</v>
      </c>
      <c r="L70" s="143">
        <f>'Surface water'!V$10</f>
        <v>613</v>
      </c>
      <c r="M70" s="143">
        <f>'Surface water'!AJ$10</f>
        <v>650</v>
      </c>
      <c r="N70" s="143">
        <f>'Surface water'!AU$10</f>
        <v>678</v>
      </c>
      <c r="O70" s="143">
        <f>'Surface water'!BF$10</f>
        <v>686</v>
      </c>
      <c r="P70" s="143">
        <f>'Surface water'!BQ$10</f>
        <v>710</v>
      </c>
    </row>
    <row r="71" spans="1:16" x14ac:dyDescent="0.35">
      <c r="A71" s="147">
        <v>44281</v>
      </c>
      <c r="B71" s="148" t="str">
        <f>'Surface water'!$I44</f>
        <v>&lt;1</v>
      </c>
      <c r="C71" s="143" t="str">
        <f>'Surface water'!$W44</f>
        <v>&lt;1</v>
      </c>
      <c r="D71" s="143">
        <f>'Surface water'!$AK44</f>
        <v>15</v>
      </c>
      <c r="E71" s="143">
        <f>'Surface water'!$AV44</f>
        <v>16</v>
      </c>
      <c r="F71" s="143">
        <f>'Surface water'!$BG44</f>
        <v>15</v>
      </c>
      <c r="G71" s="143">
        <f>'Surface water'!$BR44</f>
        <v>10</v>
      </c>
      <c r="J71" s="147">
        <v>44281</v>
      </c>
      <c r="K71" s="143">
        <f>'Surface water'!I$10</f>
        <v>878</v>
      </c>
      <c r="L71" s="143">
        <f>'Surface water'!W$10</f>
        <v>877</v>
      </c>
      <c r="M71" s="143">
        <f>'Surface water'!AK$10</f>
        <v>878</v>
      </c>
      <c r="N71" s="143">
        <f>'Surface water'!AV$10</f>
        <v>881</v>
      </c>
      <c r="O71" s="143">
        <f>'Surface water'!BG$10</f>
        <v>888</v>
      </c>
      <c r="P71" s="143">
        <f>'Surface water'!BR$10</f>
        <v>895</v>
      </c>
    </row>
    <row r="72" spans="1:16" x14ac:dyDescent="0.35">
      <c r="A72" s="147">
        <v>44349</v>
      </c>
      <c r="B72" s="148" t="str">
        <f>'Surface water'!$J44</f>
        <v>&lt;1</v>
      </c>
      <c r="C72" s="143">
        <f>'Surface water'!$X44</f>
        <v>1</v>
      </c>
      <c r="D72" s="143" t="str">
        <f>'Surface water'!$AL44</f>
        <v>&lt;1</v>
      </c>
      <c r="E72" s="143">
        <f>'Surface water'!$AW44</f>
        <v>6.1</v>
      </c>
      <c r="F72" s="143">
        <f>'Surface water'!$BH44</f>
        <v>3.3</v>
      </c>
      <c r="G72" s="140">
        <f>'Surface water'!$BS44</f>
        <v>6</v>
      </c>
      <c r="J72" s="147">
        <v>44349</v>
      </c>
      <c r="K72" s="143">
        <f>'Surface water'!J$10</f>
        <v>844</v>
      </c>
      <c r="L72" s="143">
        <f>'Surface water'!X$10</f>
        <v>886</v>
      </c>
      <c r="M72" s="143">
        <f>'Surface water'!AL$10</f>
        <v>839</v>
      </c>
      <c r="N72" s="143">
        <f>'Surface water'!AW$10</f>
        <v>850</v>
      </c>
      <c r="O72" s="143">
        <f>'Surface water'!BH$10</f>
        <v>887</v>
      </c>
      <c r="P72" s="143">
        <f>'Surface water'!BS$10</f>
        <v>944</v>
      </c>
    </row>
    <row r="73" spans="1:16" x14ac:dyDescent="0.35">
      <c r="A73" s="147">
        <v>44466</v>
      </c>
      <c r="B73" s="148" t="str">
        <f>'Surface water'!$K$44</f>
        <v>&lt;1</v>
      </c>
      <c r="C73" s="143" t="str">
        <f>'Surface water'!$Y$44</f>
        <v>&lt;1</v>
      </c>
      <c r="D73" s="143">
        <f>'Surface water'!$AM$44</f>
        <v>45</v>
      </c>
      <c r="E73" s="143">
        <f>'Surface water'!$AX$44</f>
        <v>42</v>
      </c>
      <c r="F73" s="143">
        <f>'Surface water'!$BI$44</f>
        <v>31</v>
      </c>
      <c r="G73" s="140">
        <f>'Surface water'!$BT$44</f>
        <v>1.6</v>
      </c>
      <c r="J73" s="147">
        <v>44466</v>
      </c>
      <c r="K73" s="143">
        <f>'Surface water'!K$10</f>
        <v>449</v>
      </c>
      <c r="L73" s="143">
        <f>'Surface water'!Y$10</f>
        <v>448</v>
      </c>
      <c r="M73" s="143">
        <f>'Surface water'!AM$10</f>
        <v>450</v>
      </c>
      <c r="N73" s="143">
        <f>'Surface water'!AX$10</f>
        <v>457</v>
      </c>
      <c r="O73" s="143">
        <f>'Surface water'!BI$10</f>
        <v>454</v>
      </c>
      <c r="P73" s="143"/>
    </row>
    <row r="74" spans="1:16" x14ac:dyDescent="0.35">
      <c r="A74" s="147">
        <v>44567</v>
      </c>
      <c r="B74" s="148" t="str">
        <f>'Surface water'!$L$44</f>
        <v>&lt;1</v>
      </c>
      <c r="C74" s="143">
        <f>'Surface water'!$Z$44</f>
        <v>1.2</v>
      </c>
      <c r="D74" s="143">
        <f>'Surface water'!$AN$44</f>
        <v>13</v>
      </c>
      <c r="E74" s="143">
        <f>'Surface water'!$AY$44</f>
        <v>15</v>
      </c>
      <c r="F74" s="143">
        <f>'Surface water'!$BJ$44</f>
        <v>17</v>
      </c>
      <c r="G74" s="140">
        <f>'Surface water'!$BU$44</f>
        <v>12</v>
      </c>
      <c r="J74" s="147">
        <v>44567</v>
      </c>
      <c r="K74" s="143">
        <f>'Surface water'!L$10</f>
        <v>980</v>
      </c>
      <c r="L74" s="143">
        <f>'Surface water'!Z$10</f>
        <v>858</v>
      </c>
      <c r="M74" s="143">
        <f>'Surface water'!AN$10</f>
        <v>785</v>
      </c>
      <c r="N74" s="143">
        <f>'Surface water'!AY$10</f>
        <v>781</v>
      </c>
      <c r="O74" s="143">
        <f>'Surface water'!BJ$10</f>
        <v>791</v>
      </c>
      <c r="P74" s="143">
        <f>'Surface water'!BU$10</f>
        <v>802</v>
      </c>
    </row>
    <row r="75" spans="1:16" x14ac:dyDescent="0.35">
      <c r="A75" s="147">
        <v>44698</v>
      </c>
      <c r="B75" s="148" t="str">
        <f>'Surface water'!$M$44</f>
        <v>&lt;1</v>
      </c>
      <c r="C75" s="143">
        <f>'Surface water'!$AA$44</f>
        <v>13</v>
      </c>
      <c r="D75" s="143">
        <f>'Surface water'!$AO$44</f>
        <v>4.5</v>
      </c>
      <c r="E75" s="143">
        <f>'Surface water'!$AZ$44</f>
        <v>13</v>
      </c>
      <c r="F75" s="143">
        <f>'Surface water'!$BK$44</f>
        <v>12</v>
      </c>
      <c r="G75" s="140">
        <f>'Surface water'!$BV$44</f>
        <v>2.2000000000000002</v>
      </c>
      <c r="J75" s="147">
        <v>44698</v>
      </c>
      <c r="K75" s="143">
        <f>'Surface water'!M$10</f>
        <v>1223</v>
      </c>
      <c r="L75" s="143">
        <f>'Surface water'!AA$10</f>
        <v>1202</v>
      </c>
      <c r="M75" s="143">
        <f>'Surface water'!AO$10</f>
        <v>1221</v>
      </c>
      <c r="N75" s="143">
        <f>'Surface water'!AZ$10</f>
        <v>1210</v>
      </c>
      <c r="O75" s="143">
        <f>'Surface water'!BK$10</f>
        <v>1204</v>
      </c>
      <c r="P75" s="143">
        <f>'Surface water'!BV$10</f>
        <v>1389</v>
      </c>
    </row>
    <row r="76" spans="1:16" x14ac:dyDescent="0.35">
      <c r="A76" s="147">
        <v>44754</v>
      </c>
      <c r="B76" s="148">
        <f>'Surface water'!$N$44</f>
        <v>1.7</v>
      </c>
      <c r="C76" s="143">
        <f>'Surface water'!$AB$44</f>
        <v>20</v>
      </c>
      <c r="D76" s="143">
        <f>'Surface water'!$AP$44</f>
        <v>21</v>
      </c>
      <c r="E76" s="143">
        <f>'Surface water'!$BA$44</f>
        <v>30</v>
      </c>
      <c r="F76" s="143">
        <f>'Surface water'!$BL$44</f>
        <v>56</v>
      </c>
      <c r="G76" s="140">
        <f>'Surface water'!$BW$44</f>
        <v>4</v>
      </c>
      <c r="J76" s="147">
        <v>44754</v>
      </c>
      <c r="K76" s="143">
        <f>'Surface water'!N$10</f>
        <v>1012</v>
      </c>
      <c r="L76" s="143">
        <f>'Surface water'!AB$10</f>
        <v>1059</v>
      </c>
      <c r="M76" s="143">
        <f>'Surface water'!AP$10</f>
        <v>1147</v>
      </c>
      <c r="N76" s="143">
        <f>'Surface water'!BA$10</f>
        <v>1014</v>
      </c>
      <c r="O76" s="143">
        <f>'Surface water'!BL$10</f>
        <v>1037</v>
      </c>
      <c r="P76" s="143">
        <f>'Surface water'!BW$10</f>
        <v>1539</v>
      </c>
    </row>
    <row r="77" spans="1:16" x14ac:dyDescent="0.35">
      <c r="A77" s="147">
        <v>44860</v>
      </c>
      <c r="B77" s="148">
        <f>'Surface water'!$O$44</f>
        <v>1.1000000000000001</v>
      </c>
      <c r="C77" s="143">
        <f>'Surface water'!$AC$44</f>
        <v>1.6</v>
      </c>
      <c r="D77" s="143">
        <f>'Surface water'!$AQ$44</f>
        <v>19</v>
      </c>
      <c r="E77" s="143">
        <f>'Surface water'!$BB$44</f>
        <v>18</v>
      </c>
      <c r="F77" s="143">
        <f>'Surface water'!$BM$44</f>
        <v>15</v>
      </c>
      <c r="G77" s="140">
        <f>'Surface water'!$BX$44</f>
        <v>1.7</v>
      </c>
      <c r="J77" s="147">
        <v>44860</v>
      </c>
      <c r="K77" s="143">
        <f>'Surface water'!O$10</f>
        <v>745</v>
      </c>
      <c r="L77" s="143">
        <f>'Surface water'!AC$10</f>
        <v>746</v>
      </c>
      <c r="M77" s="143">
        <f>'Surface water'!AQ$10</f>
        <v>746</v>
      </c>
      <c r="N77" s="143">
        <f>'Surface water'!BB$10</f>
        <v>741</v>
      </c>
      <c r="O77" s="143">
        <f>'Surface water'!BM$10</f>
        <v>743</v>
      </c>
      <c r="P77" s="143"/>
    </row>
  </sheetData>
  <conditionalFormatting sqref="B19 D19 D21:E21 D23:E23 D25:E25 D27:E27 D29:E29">
    <cfRule type="cellIs" dxfId="19" priority="26" operator="greaterThan">
      <formula>$C$30</formula>
    </cfRule>
  </conditionalFormatting>
  <conditionalFormatting sqref="C19">
    <cfRule type="cellIs" dxfId="18" priority="25" operator="greaterThan">
      <formula>$C$30</formula>
    </cfRule>
  </conditionalFormatting>
  <conditionalFormatting sqref="E19">
    <cfRule type="cellIs" dxfId="17" priority="24" operator="greaterThan">
      <formula>$C$30</formula>
    </cfRule>
  </conditionalFormatting>
  <conditionalFormatting sqref="B21">
    <cfRule type="cellIs" dxfId="16" priority="23" operator="greaterThan">
      <formula>$C$30</formula>
    </cfRule>
  </conditionalFormatting>
  <conditionalFormatting sqref="C21">
    <cfRule type="cellIs" dxfId="15" priority="22" operator="greaterThan">
      <formula>$C$30</formula>
    </cfRule>
  </conditionalFormatting>
  <conditionalFormatting sqref="B23">
    <cfRule type="cellIs" dxfId="14" priority="21" operator="greaterThan">
      <formula>$C$30</formula>
    </cfRule>
  </conditionalFormatting>
  <conditionalFormatting sqref="C23">
    <cfRule type="cellIs" dxfId="13" priority="20" operator="greaterThan">
      <formula>$C$30</formula>
    </cfRule>
  </conditionalFormatting>
  <conditionalFormatting sqref="B25">
    <cfRule type="cellIs" dxfId="12" priority="19" operator="greaterThan">
      <formula>$C$30</formula>
    </cfRule>
  </conditionalFormatting>
  <conditionalFormatting sqref="C25">
    <cfRule type="cellIs" dxfId="11" priority="18" operator="greaterThan">
      <formula>$C$30</formula>
    </cfRule>
  </conditionalFormatting>
  <conditionalFormatting sqref="B27">
    <cfRule type="cellIs" dxfId="10" priority="17" operator="greaterThan">
      <formula>$C$30</formula>
    </cfRule>
  </conditionalFormatting>
  <conditionalFormatting sqref="C27">
    <cfRule type="cellIs" dxfId="9" priority="16" operator="greaterThan">
      <formula>$C$30</formula>
    </cfRule>
  </conditionalFormatting>
  <conditionalFormatting sqref="B29">
    <cfRule type="cellIs" dxfId="8" priority="15" operator="greaterThan">
      <formula>$C$30</formula>
    </cfRule>
  </conditionalFormatting>
  <conditionalFormatting sqref="C29">
    <cfRule type="cellIs" dxfId="7" priority="14" operator="greaterThan">
      <formula>$C$30</formula>
    </cfRule>
  </conditionalFormatting>
  <conditionalFormatting sqref="K33 M33 M49:N49 M51:N51">
    <cfRule type="cellIs" dxfId="6" priority="13" operator="greaterThan">
      <formula>$C$20</formula>
    </cfRule>
  </conditionalFormatting>
  <conditionalFormatting sqref="L33">
    <cfRule type="cellIs" dxfId="5" priority="12" operator="greaterThan">
      <formula>$C$20</formula>
    </cfRule>
  </conditionalFormatting>
  <conditionalFormatting sqref="N33">
    <cfRule type="cellIs" dxfId="4" priority="11" operator="greaterThan">
      <formula>$C$20</formula>
    </cfRule>
  </conditionalFormatting>
  <conditionalFormatting sqref="K49">
    <cfRule type="cellIs" dxfId="3" priority="4" operator="greaterThan">
      <formula>$C$20</formula>
    </cfRule>
  </conditionalFormatting>
  <conditionalFormatting sqref="L49">
    <cfRule type="cellIs" dxfId="2" priority="3" operator="greaterThan">
      <formula>$C$20</formula>
    </cfRule>
  </conditionalFormatting>
  <conditionalFormatting sqref="K51">
    <cfRule type="cellIs" dxfId="1" priority="2" operator="greaterThan">
      <formula>$C$20</formula>
    </cfRule>
  </conditionalFormatting>
  <conditionalFormatting sqref="L51">
    <cfRule type="cellIs" dxfId="0" priority="1" operator="greaterThan">
      <formula>$C$20</formula>
    </cfRule>
  </conditionalFormatting>
  <pageMargins left="0.7" right="0.7" top="0.75" bottom="0.75" header="0.3" footer="0.3"/>
  <pageSetup paperSize="9" scale="41" fitToWidth="2" orientation="portrait" r:id="rId1"/>
  <colBreaks count="1" manualBreakCount="1">
    <brk id="1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1AF92-1066-4540-971E-56C2DE0B1AAA}">
  <sheetPr>
    <pageSetUpPr fitToPage="1"/>
  </sheetPr>
  <dimension ref="A1:P16"/>
  <sheetViews>
    <sheetView view="pageBreakPreview" zoomScale="80" zoomScaleNormal="80" zoomScaleSheetLayoutView="80" workbookViewId="0">
      <selection activeCell="L32" sqref="L32"/>
    </sheetView>
  </sheetViews>
  <sheetFormatPr defaultRowHeight="14.5" x14ac:dyDescent="0.35"/>
  <cols>
    <col min="1" max="1" width="24.54296875" customWidth="1"/>
    <col min="2" max="2" width="18.54296875" customWidth="1"/>
    <col min="3" max="3" width="14.08984375" customWidth="1"/>
    <col min="4" max="4" width="10" customWidth="1"/>
    <col min="5" max="5" width="13.54296875" customWidth="1"/>
    <col min="6" max="6" width="12" customWidth="1"/>
    <col min="7" max="8" width="32.90625" customWidth="1"/>
    <col min="9" max="9" width="28" customWidth="1"/>
    <col min="10" max="10" width="16.54296875" customWidth="1"/>
    <col min="11" max="11" width="25.453125" customWidth="1"/>
    <col min="12" max="12" width="27.08984375" customWidth="1"/>
    <col min="13" max="13" width="28.54296875" customWidth="1"/>
    <col min="14" max="14" width="29" customWidth="1"/>
    <col min="15" max="15" width="23.453125" customWidth="1"/>
    <col min="16" max="16" width="25" customWidth="1"/>
  </cols>
  <sheetData>
    <row r="1" spans="1:16" x14ac:dyDescent="0.35">
      <c r="B1" s="35" t="s">
        <v>399</v>
      </c>
      <c r="C1" s="39"/>
      <c r="D1" s="39"/>
      <c r="E1" s="39"/>
      <c r="F1" s="39"/>
      <c r="G1" s="39"/>
      <c r="H1" s="39"/>
      <c r="I1" s="39"/>
      <c r="J1" s="35" t="s">
        <v>587</v>
      </c>
      <c r="K1" s="35" t="s">
        <v>588</v>
      </c>
      <c r="L1" s="39"/>
      <c r="M1" s="35" t="s">
        <v>582</v>
      </c>
      <c r="N1" s="35" t="s">
        <v>582</v>
      </c>
      <c r="O1" s="35" t="s">
        <v>583</v>
      </c>
      <c r="P1" s="35" t="s">
        <v>585</v>
      </c>
    </row>
    <row r="2" spans="1:16" x14ac:dyDescent="0.35">
      <c r="A2" s="35" t="s">
        <v>454</v>
      </c>
      <c r="B2" s="39" t="s">
        <v>389</v>
      </c>
      <c r="C2" s="35" t="s">
        <v>415</v>
      </c>
      <c r="D2" s="35" t="s">
        <v>416</v>
      </c>
      <c r="E2" s="35" t="s">
        <v>417</v>
      </c>
      <c r="F2" s="35" t="s">
        <v>20</v>
      </c>
      <c r="G2" s="35" t="s">
        <v>569</v>
      </c>
      <c r="H2" s="39"/>
      <c r="I2" s="35" t="s">
        <v>576</v>
      </c>
      <c r="J2" s="35" t="s">
        <v>589</v>
      </c>
      <c r="K2" s="35" t="s">
        <v>456</v>
      </c>
      <c r="L2" s="35" t="s">
        <v>581</v>
      </c>
      <c r="M2" s="35" t="s">
        <v>584</v>
      </c>
      <c r="N2" s="35" t="s">
        <v>470</v>
      </c>
      <c r="O2" s="35" t="s">
        <v>396</v>
      </c>
      <c r="P2" s="35" t="s">
        <v>586</v>
      </c>
    </row>
    <row r="3" spans="1:16" x14ac:dyDescent="0.35">
      <c r="A3" s="28">
        <v>43864</v>
      </c>
      <c r="B3" s="154" t="s">
        <v>391</v>
      </c>
      <c r="C3" s="154" t="s">
        <v>391</v>
      </c>
      <c r="D3" s="154" t="s">
        <v>391</v>
      </c>
      <c r="E3" s="154" t="s">
        <v>391</v>
      </c>
      <c r="F3" s="154" t="s">
        <v>391</v>
      </c>
      <c r="G3" s="154" t="s">
        <v>391</v>
      </c>
      <c r="H3" s="154"/>
      <c r="I3" s="23" t="s">
        <v>393</v>
      </c>
      <c r="J3" s="23" t="s">
        <v>419</v>
      </c>
      <c r="K3" s="23" t="s">
        <v>425</v>
      </c>
      <c r="L3" s="154" t="s">
        <v>391</v>
      </c>
      <c r="M3" s="154" t="s">
        <v>391</v>
      </c>
      <c r="N3" s="154" t="s">
        <v>391</v>
      </c>
      <c r="O3" s="24">
        <f>7.601-3.08</f>
        <v>4.5209999999999999</v>
      </c>
      <c r="P3" s="154" t="s">
        <v>391</v>
      </c>
    </row>
    <row r="4" spans="1:16" x14ac:dyDescent="0.35">
      <c r="A4" s="28">
        <v>43920</v>
      </c>
      <c r="B4" s="154" t="s">
        <v>391</v>
      </c>
      <c r="C4" s="154" t="s">
        <v>391</v>
      </c>
      <c r="D4" s="154" t="s">
        <v>391</v>
      </c>
      <c r="E4" s="154" t="s">
        <v>391</v>
      </c>
      <c r="F4" s="154" t="s">
        <v>391</v>
      </c>
      <c r="G4" s="154" t="s">
        <v>391</v>
      </c>
      <c r="H4" s="154"/>
      <c r="I4" s="23" t="s">
        <v>394</v>
      </c>
      <c r="J4" s="23" t="s">
        <v>420</v>
      </c>
      <c r="K4" s="23" t="s">
        <v>426</v>
      </c>
      <c r="L4" s="154" t="s">
        <v>391</v>
      </c>
      <c r="M4" s="154" t="s">
        <v>391</v>
      </c>
      <c r="N4" s="154" t="s">
        <v>391</v>
      </c>
      <c r="O4" s="24">
        <f>7.601-3.07</f>
        <v>4.5310000000000006</v>
      </c>
      <c r="P4" s="154" t="s">
        <v>391</v>
      </c>
    </row>
    <row r="5" spans="1:16" x14ac:dyDescent="0.35">
      <c r="A5" s="28">
        <v>43986</v>
      </c>
      <c r="B5" s="154" t="s">
        <v>391</v>
      </c>
      <c r="C5" s="154" t="s">
        <v>391</v>
      </c>
      <c r="D5" s="188" t="s">
        <v>391</v>
      </c>
      <c r="E5" s="154" t="s">
        <v>391</v>
      </c>
      <c r="F5" s="154" t="s">
        <v>391</v>
      </c>
      <c r="G5" s="154" t="s">
        <v>391</v>
      </c>
      <c r="H5" s="154"/>
      <c r="I5" s="23" t="s">
        <v>395</v>
      </c>
      <c r="J5" s="23" t="s">
        <v>421</v>
      </c>
      <c r="K5" s="23" t="s">
        <v>426</v>
      </c>
      <c r="L5" s="154" t="s">
        <v>391</v>
      </c>
      <c r="M5" s="154" t="s">
        <v>391</v>
      </c>
      <c r="N5" s="154" t="s">
        <v>391</v>
      </c>
      <c r="O5" s="24">
        <f>7.601-3.27</f>
        <v>4.3309999999999995</v>
      </c>
      <c r="P5" s="154" t="s">
        <v>391</v>
      </c>
    </row>
    <row r="6" spans="1:16" s="208" customFormat="1" ht="29" x14ac:dyDescent="0.35">
      <c r="A6" s="209" t="s">
        <v>397</v>
      </c>
      <c r="B6" s="189" t="s">
        <v>391</v>
      </c>
      <c r="C6" s="189" t="s">
        <v>391</v>
      </c>
      <c r="D6" s="190">
        <f>AVERAGE([1]Oppervlaktewater!Z12,[1]Oppervlaktewater!AF12,[1]Oppervlaktewater!AL12,[1]Oppervlaktewater!AR12,[1]Oppervlaktewater!Q12,[1]Oppervlaktewater!H12)</f>
        <v>2.7383333333333333</v>
      </c>
      <c r="E6" s="189" t="s">
        <v>391</v>
      </c>
      <c r="F6" s="189" t="s">
        <v>391</v>
      </c>
      <c r="G6" s="193" t="s">
        <v>570</v>
      </c>
      <c r="H6" s="193">
        <v>23</v>
      </c>
      <c r="I6" s="194" t="s">
        <v>390</v>
      </c>
      <c r="J6" s="194" t="s">
        <v>422</v>
      </c>
      <c r="K6" s="194" t="s">
        <v>427</v>
      </c>
      <c r="L6" s="221" t="s">
        <v>577</v>
      </c>
      <c r="M6" s="208">
        <v>7.0000000000000007E-2</v>
      </c>
      <c r="N6" s="208">
        <f>4.73-M6</f>
        <v>4.66</v>
      </c>
      <c r="O6" s="208">
        <f>7.601-2.64</f>
        <v>4.9610000000000003</v>
      </c>
      <c r="P6" s="208">
        <f>O6-N6</f>
        <v>0.30100000000000016</v>
      </c>
    </row>
    <row r="7" spans="1:16" x14ac:dyDescent="0.35">
      <c r="A7" s="28">
        <v>44281</v>
      </c>
      <c r="B7" s="188" t="s">
        <v>391</v>
      </c>
      <c r="C7" s="154" t="s">
        <v>391</v>
      </c>
      <c r="D7" s="191" t="s">
        <v>418</v>
      </c>
      <c r="E7" s="192" t="s">
        <v>391</v>
      </c>
      <c r="F7" s="188" t="s">
        <v>391</v>
      </c>
      <c r="G7" s="154" t="s">
        <v>391</v>
      </c>
      <c r="H7" s="154"/>
      <c r="I7" s="23" t="s">
        <v>398</v>
      </c>
      <c r="J7" s="23" t="s">
        <v>423</v>
      </c>
      <c r="K7" s="23" t="s">
        <v>428</v>
      </c>
      <c r="L7" s="154" t="s">
        <v>391</v>
      </c>
      <c r="M7" s="24">
        <v>0.05</v>
      </c>
      <c r="N7" s="24">
        <f>4.73-M7</f>
        <v>4.6800000000000006</v>
      </c>
      <c r="O7" s="24">
        <f>7.601-2.59</f>
        <v>5.0110000000000001</v>
      </c>
      <c r="P7" s="24">
        <f>O7-N7</f>
        <v>0.33099999999999952</v>
      </c>
    </row>
    <row r="8" spans="1:16" x14ac:dyDescent="0.35">
      <c r="A8" s="28">
        <v>44349</v>
      </c>
      <c r="B8" s="188">
        <f>AVERAGE([1]Oppervlaktewater!J8,[1]Oppervlaktewater!S8,[1]Oppervlaktewater!AB8,[1]Oppervlaktewater!AH8,[1]Oppervlaktewater!AN8,[1]Oppervlaktewater!AT8)</f>
        <v>22.766666666666666</v>
      </c>
      <c r="C8" s="154">
        <f>AVERAGE([1]Oppervlaktewater!AB10,[1]Oppervlaktewater!AH10,[1]Oppervlaktewater!AN10,[1]Oppervlaktewater!AT10,[1]Oppervlaktewater!J10,[1]Oppervlaktewater!S10)</f>
        <v>875</v>
      </c>
      <c r="D8" s="188">
        <f>AVERAGE([1]Oppervlaktewater!J12,[1]Oppervlaktewater!S12,[1]Oppervlaktewater!AB12,[1]Oppervlaktewater!AH12,[1]Oppervlaktewater!AN12,[1]Oppervlaktewater!AT12)</f>
        <v>6.6366666666666667</v>
      </c>
      <c r="E8" s="192">
        <f>AVERAGE([1]Oppervlaktewater!J11,[1]Oppervlaktewater!S11,[1]Oppervlaktewater!AB11,[1]Oppervlaktewater!AH11,[1]Oppervlaktewater!AN11,[1]Oppervlaktewater!AT11)</f>
        <v>73.283333333333346</v>
      </c>
      <c r="F8" s="188">
        <f>AVERAGE([1]Oppervlaktewater!J9,[1]Oppervlaktewater!S9,[1]Oppervlaktewater!AB9,[1]Oppervlaktewater!AH9,[1]Oppervlaktewater!AN9,[1]Oppervlaktewater!AT9)</f>
        <v>7.5349999999999993</v>
      </c>
      <c r="G8" s="23" t="s">
        <v>571</v>
      </c>
      <c r="H8" s="23">
        <v>0</v>
      </c>
      <c r="I8" s="23" t="s">
        <v>414</v>
      </c>
      <c r="J8" s="23" t="s">
        <v>424</v>
      </c>
      <c r="K8" s="23" t="s">
        <v>429</v>
      </c>
      <c r="L8" s="154" t="s">
        <v>391</v>
      </c>
      <c r="M8" s="24">
        <v>0.03</v>
      </c>
      <c r="N8" s="184">
        <f>4.73-M8</f>
        <v>4.7</v>
      </c>
      <c r="O8" s="24">
        <f>7.601-2.64</f>
        <v>4.9610000000000003</v>
      </c>
      <c r="P8" s="24">
        <f>O8-N8</f>
        <v>0.26100000000000012</v>
      </c>
    </row>
    <row r="9" spans="1:16" s="207" customFormat="1" ht="29" x14ac:dyDescent="0.35">
      <c r="A9" s="209">
        <v>44466</v>
      </c>
      <c r="B9" s="208">
        <v>17.2</v>
      </c>
      <c r="C9" s="208">
        <v>411</v>
      </c>
      <c r="D9" s="208">
        <v>3.8</v>
      </c>
      <c r="E9" s="208">
        <v>55</v>
      </c>
      <c r="F9" s="208">
        <v>7.6</v>
      </c>
      <c r="G9" s="193" t="s">
        <v>572</v>
      </c>
      <c r="H9" s="193">
        <v>43</v>
      </c>
      <c r="I9" s="210" t="s">
        <v>448</v>
      </c>
      <c r="J9" s="208" t="s">
        <v>447</v>
      </c>
      <c r="K9" s="208" t="s">
        <v>449</v>
      </c>
      <c r="L9" s="210" t="s">
        <v>578</v>
      </c>
      <c r="M9" s="208">
        <v>0.1</v>
      </c>
      <c r="N9" s="211">
        <f>4.73-M9</f>
        <v>4.6300000000000008</v>
      </c>
      <c r="O9" s="208">
        <v>4.8310000000000004</v>
      </c>
      <c r="P9" s="208">
        <f>O9-N9</f>
        <v>0.20099999999999962</v>
      </c>
    </row>
    <row r="10" spans="1:16" s="207" customFormat="1" x14ac:dyDescent="0.35">
      <c r="A10" s="209">
        <v>44567</v>
      </c>
      <c r="B10" s="208">
        <v>5.4</v>
      </c>
      <c r="C10" s="208">
        <v>833</v>
      </c>
      <c r="D10" s="208">
        <v>4.9000000000000004</v>
      </c>
      <c r="E10" s="208">
        <v>67</v>
      </c>
      <c r="F10" s="208">
        <v>7.5</v>
      </c>
      <c r="G10" s="193" t="s">
        <v>573</v>
      </c>
      <c r="H10" s="193">
        <v>100</v>
      </c>
      <c r="I10" s="193" t="s">
        <v>468</v>
      </c>
      <c r="J10" s="194" t="s">
        <v>514</v>
      </c>
      <c r="K10" s="194" t="s">
        <v>469</v>
      </c>
      <c r="L10" s="221" t="s">
        <v>579</v>
      </c>
      <c r="M10" s="208">
        <v>0.01</v>
      </c>
      <c r="N10" s="252">
        <f>4.73-M10</f>
        <v>4.7200000000000006</v>
      </c>
      <c r="O10" s="253">
        <v>4.681</v>
      </c>
      <c r="P10" s="250">
        <f>O10-N10</f>
        <v>-3.900000000000059E-2</v>
      </c>
    </row>
    <row r="11" spans="1:16" s="207" customFormat="1" x14ac:dyDescent="0.35">
      <c r="A11" s="28">
        <v>44698</v>
      </c>
      <c r="B11" s="208">
        <v>19.600000000000001</v>
      </c>
      <c r="C11" s="243">
        <v>1240</v>
      </c>
      <c r="D11" s="208">
        <v>4.4000000000000004</v>
      </c>
      <c r="E11" s="208">
        <v>-18</v>
      </c>
      <c r="F11" s="208">
        <v>7.8</v>
      </c>
      <c r="G11" s="208" t="s">
        <v>574</v>
      </c>
      <c r="H11" s="208">
        <v>23</v>
      </c>
      <c r="I11" s="193" t="s">
        <v>495</v>
      </c>
      <c r="J11" s="23" t="s">
        <v>515</v>
      </c>
      <c r="K11" s="24">
        <v>1</v>
      </c>
      <c r="L11" s="24" t="s">
        <v>391</v>
      </c>
      <c r="M11" s="208">
        <v>-0.08</v>
      </c>
      <c r="N11" s="211">
        <f t="shared" ref="N11:N13" si="0">4.73-M11</f>
        <v>4.8100000000000005</v>
      </c>
      <c r="O11" s="283">
        <v>4.7910000000000004</v>
      </c>
      <c r="P11" s="250">
        <f t="shared" ref="P11:P13" si="1">O11-N11</f>
        <v>-1.9000000000000128E-2</v>
      </c>
    </row>
    <row r="12" spans="1:16" x14ac:dyDescent="0.35">
      <c r="A12" s="28">
        <v>44754</v>
      </c>
      <c r="B12" s="208">
        <v>21.5</v>
      </c>
      <c r="C12" s="246">
        <v>1130</v>
      </c>
      <c r="D12" s="208">
        <v>3</v>
      </c>
      <c r="E12" s="208">
        <v>19</v>
      </c>
      <c r="F12" s="208">
        <v>7.7</v>
      </c>
      <c r="G12" s="249" t="s">
        <v>391</v>
      </c>
      <c r="H12" s="249"/>
      <c r="I12" s="193" t="s">
        <v>495</v>
      </c>
      <c r="J12" s="23" t="s">
        <v>516</v>
      </c>
      <c r="K12" s="24">
        <v>0</v>
      </c>
      <c r="L12" s="24" t="s">
        <v>391</v>
      </c>
      <c r="M12" s="208">
        <v>0.03</v>
      </c>
      <c r="N12" s="211">
        <f t="shared" si="0"/>
        <v>4.7</v>
      </c>
      <c r="O12" s="24">
        <v>5.0309999999999997</v>
      </c>
      <c r="P12" s="208">
        <f t="shared" si="1"/>
        <v>0.33099999999999952</v>
      </c>
    </row>
    <row r="13" spans="1:16" ht="29" x14ac:dyDescent="0.35">
      <c r="A13" s="28">
        <v>44860</v>
      </c>
      <c r="B13" s="274">
        <f>AVERAGE('Surface water'!O8,'Surface water'!AC8,'Surface water'!AQ8,'Surface water'!BB8,'Surface water'!BM8,'Surface water'!BX8)</f>
        <v>16.166666666666668</v>
      </c>
      <c r="C13" s="281">
        <v>744</v>
      </c>
      <c r="D13" s="274">
        <f>AVERAGE('Surface water'!O12,'Surface water'!AC12,'Surface water'!AQ12,'Surface water'!BB12,'Surface water'!BM12,'Surface water'!BX12)</f>
        <v>6.4433333333333325</v>
      </c>
      <c r="E13" s="275">
        <f>AVERAGE('Surface water'!BX11,'Surface water'!BM11,'Surface water'!BB11,'Surface water'!AQ11,'Surface water'!AC11,'Surface water'!O11)</f>
        <v>-22.866666666666664</v>
      </c>
      <c r="F13" s="274">
        <f>AVERAGE('Surface water'!O9,'Surface water'!AQ9,'Surface water'!BB9,'Surface water'!BM9,'Surface water'!BX9)</f>
        <v>8.3979999999999997</v>
      </c>
      <c r="G13" s="189" t="s">
        <v>575</v>
      </c>
      <c r="H13" s="189">
        <v>43</v>
      </c>
      <c r="I13" s="193" t="s">
        <v>519</v>
      </c>
      <c r="J13" s="194" t="s">
        <v>517</v>
      </c>
      <c r="K13" s="194" t="s">
        <v>518</v>
      </c>
      <c r="L13" s="282" t="s">
        <v>580</v>
      </c>
      <c r="M13" s="208">
        <v>0.1</v>
      </c>
      <c r="N13" s="211">
        <f t="shared" si="0"/>
        <v>4.6300000000000008</v>
      </c>
      <c r="O13" s="208">
        <v>4.7809999999999997</v>
      </c>
      <c r="P13" s="208">
        <f t="shared" si="1"/>
        <v>0.15099999999999891</v>
      </c>
    </row>
    <row r="14" spans="1:16" x14ac:dyDescent="0.35">
      <c r="H14" s="24">
        <f>AVERAGE(H6,H8,H9,H10,H11,H13)</f>
        <v>38.666666666666664</v>
      </c>
      <c r="M14" s="208"/>
      <c r="N14" s="184">
        <f>AVERAGE(N6:N13)</f>
        <v>4.691250000000001</v>
      </c>
      <c r="O14" s="184">
        <f>AVERAGE(O6:O12)</f>
        <v>4.8952857142857145</v>
      </c>
      <c r="P14" s="184">
        <f>AVERAGE(P3:P12)</f>
        <v>0.19528571428571403</v>
      </c>
    </row>
    <row r="15" spans="1:16" x14ac:dyDescent="0.35">
      <c r="A15" s="130" t="s">
        <v>455</v>
      </c>
    </row>
    <row r="16" spans="1:16" x14ac:dyDescent="0.35">
      <c r="A16" s="153" t="s">
        <v>392</v>
      </c>
    </row>
  </sheetData>
  <hyperlinks>
    <hyperlink ref="A16" r:id="rId1" display="https://www.meteoblue.com/nl/weer/historyclimate/weatherarchive/gent_belgi%c3%ab_2797656?fcstlength=1m&amp;year=2020&amp;month=2" xr:uid="{3E1FA321-EC28-43BA-845F-9FBEEAF9A526}"/>
  </hyperlinks>
  <pageMargins left="0.7" right="0.7" top="0.75" bottom="0.75" header="0.3" footer="0.3"/>
  <pageSetup scale="33" orientation="landscape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11</vt:i4>
      </vt:variant>
    </vt:vector>
  </HeadingPairs>
  <TitlesOfParts>
    <vt:vector size="18" baseType="lpstr">
      <vt:lpstr>Monitoring wells</vt:lpstr>
      <vt:lpstr>Groundwater</vt:lpstr>
      <vt:lpstr>Sediments</vt:lpstr>
      <vt:lpstr>Surface water</vt:lpstr>
      <vt:lpstr>Wat over mat</vt:lpstr>
      <vt:lpstr>Grafiek opp wat afstand</vt:lpstr>
      <vt:lpstr>Logboek</vt:lpstr>
      <vt:lpstr>Groundwater!Area_stampa</vt:lpstr>
      <vt:lpstr>'Monitoring wells'!Area_stampa</vt:lpstr>
      <vt:lpstr>Sediments!Area_stampa</vt:lpstr>
      <vt:lpstr>'Surface water'!Area_stampa</vt:lpstr>
      <vt:lpstr>'Wat over mat'!Area_stampa</vt:lpstr>
      <vt:lpstr>Sediments!BodemStofnamen</vt:lpstr>
      <vt:lpstr>Sediments!CalculationSoilSubstances</vt:lpstr>
      <vt:lpstr>Sediments!KLEI</vt:lpstr>
      <vt:lpstr>MW_Water</vt:lpstr>
      <vt:lpstr>Sediments!NORMWAARDE</vt:lpstr>
      <vt:lpstr>Sediments!ORG_MAT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Matthijs Withaar</dc:creator>
  <cp:lastModifiedBy>Matteo Masi</cp:lastModifiedBy>
  <cp:lastPrinted>2022-10-05T08:08:28Z</cp:lastPrinted>
  <dcterms:created xsi:type="dcterms:W3CDTF">2012-05-16T12:09:49Z</dcterms:created>
  <dcterms:modified xsi:type="dcterms:W3CDTF">2023-11-01T11:17:38Z</dcterms:modified>
</cp:coreProperties>
</file>